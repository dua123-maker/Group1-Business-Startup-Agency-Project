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lha Khan\Downloads\"/>
    </mc:Choice>
  </mc:AlternateContent>
  <xr:revisionPtr revIDLastSave="0" documentId="13_ncr:1_{65A5BEF3-676D-4DF8-A8BA-5B478C3E186C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Product Master Data" sheetId="1" r:id="rId1"/>
    <sheet name="Inventory Management" sheetId="2" r:id="rId2"/>
    <sheet name="Monthly Sales" sheetId="3" r:id="rId3"/>
    <sheet name="Customers' Orders" sheetId="4" r:id="rId4"/>
    <sheet name="Employee Payroll" sheetId="5" r:id="rId5"/>
    <sheet name="MArketing expense" sheetId="6" r:id="rId6"/>
    <sheet name="Feedback Analysis" sheetId="7" r:id="rId7"/>
    <sheet name="ProfitLoss Statemnt" sheetId="8" r:id="rId8"/>
    <sheet name="Summary Dashboard" sheetId="9" r:id="rId9"/>
  </sheets>
  <calcPr calcId="191029"/>
  <pivotCaches>
    <pivotCache cacheId="2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2" l="1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4" i="2"/>
  <c r="J5" i="2"/>
  <c r="J6" i="2"/>
  <c r="J7" i="2"/>
  <c r="J8" i="2"/>
  <c r="J9" i="2"/>
  <c r="J3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6" i="2"/>
  <c r="H25" i="2"/>
  <c r="H24" i="2"/>
  <c r="H23" i="2"/>
  <c r="E8" i="3"/>
  <c r="H3" i="5"/>
  <c r="H4" i="5"/>
  <c r="H5" i="5"/>
  <c r="H6" i="5"/>
  <c r="H7" i="5"/>
  <c r="H8" i="5"/>
  <c r="H9" i="5"/>
  <c r="H10" i="5"/>
  <c r="H11" i="5"/>
  <c r="H12" i="5"/>
  <c r="H13" i="5"/>
  <c r="H14" i="5"/>
  <c r="G166" i="1"/>
  <c r="G167" i="1"/>
  <c r="G168" i="1"/>
  <c r="G169" i="1"/>
  <c r="G170" i="1"/>
  <c r="G171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43" i="1"/>
  <c r="G144" i="1"/>
  <c r="G145" i="1"/>
  <c r="G146" i="1"/>
  <c r="G147" i="1"/>
  <c r="G148" i="1"/>
  <c r="G149" i="1"/>
  <c r="G150" i="1"/>
  <c r="G151" i="1"/>
  <c r="G152" i="1"/>
  <c r="G153" i="1"/>
  <c r="G142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24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99" i="1"/>
  <c r="G100" i="1"/>
  <c r="G101" i="1"/>
  <c r="G102" i="1"/>
  <c r="G103" i="1"/>
  <c r="G104" i="1"/>
  <c r="G105" i="1"/>
  <c r="G98" i="1"/>
  <c r="G89" i="1"/>
  <c r="G90" i="1"/>
  <c r="G91" i="1"/>
  <c r="G92" i="1"/>
  <c r="G93" i="1"/>
  <c r="G94" i="1"/>
  <c r="G95" i="1"/>
  <c r="G8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64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30" i="1"/>
</calcChain>
</file>

<file path=xl/sharedStrings.xml><?xml version="1.0" encoding="utf-8"?>
<sst xmlns="http://schemas.openxmlformats.org/spreadsheetml/2006/main" count="1763" uniqueCount="616">
  <si>
    <t>PRODUCT MASTER DATA</t>
  </si>
  <si>
    <t>MEN</t>
  </si>
  <si>
    <t>NEW ARRIVALS</t>
  </si>
  <si>
    <t>SUB-CATEGORIES</t>
  </si>
  <si>
    <t>LIMITED EDITION</t>
  </si>
  <si>
    <t>SR#</t>
  </si>
  <si>
    <t>ID</t>
  </si>
  <si>
    <t>SIZE</t>
  </si>
  <si>
    <t>MODEL</t>
  </si>
  <si>
    <t>GENDER</t>
  </si>
  <si>
    <t>COST PRICE</t>
  </si>
  <si>
    <t>SELLING PRICE</t>
  </si>
  <si>
    <t>BLACK LOAFERS</t>
  </si>
  <si>
    <t>LAZY LEATHER LOAFERS</t>
  </si>
  <si>
    <t>BLACK LEATHER LOAFERS</t>
  </si>
  <si>
    <t>FORMAL LOAFERS</t>
  </si>
  <si>
    <t>LEATHER FORMALS</t>
  </si>
  <si>
    <t>WOMEN FORMALS</t>
  </si>
  <si>
    <t>SHEEP SKIN LOAFERS</t>
  </si>
  <si>
    <t>WHITE CHUNKY LOFERS</t>
  </si>
  <si>
    <t>MALE</t>
  </si>
  <si>
    <t>FEMALE</t>
  </si>
  <si>
    <t>5,6,7,8,9</t>
  </si>
  <si>
    <t>5,6,7,8</t>
  </si>
  <si>
    <t>WINTERS</t>
  </si>
  <si>
    <t>WATERPROOF SNEAKERS</t>
  </si>
  <si>
    <t>SNOWGIP SNEAKERS</t>
  </si>
  <si>
    <t>INSULATED HIGH-SOLES</t>
  </si>
  <si>
    <t>LUXURY HIGH ANKLES</t>
  </si>
  <si>
    <t>WOMEN LUXURY LEATHER</t>
  </si>
  <si>
    <t>LEATHER HEELS</t>
  </si>
  <si>
    <t>TURKISH LEATHER BOOTS</t>
  </si>
  <si>
    <t>WOMEN ANKLE BOOTS</t>
  </si>
  <si>
    <t>PREMIUM DESIGNS</t>
  </si>
  <si>
    <t>BLACK CHELSEA</t>
  </si>
  <si>
    <t>BROUGE SHOES</t>
  </si>
  <si>
    <t>CHELSEA BOOTS</t>
  </si>
  <si>
    <t>CHUNKY LACEUPS</t>
  </si>
  <si>
    <t>ITALIAN LEATHER</t>
  </si>
  <si>
    <t>ITALIAN ANKLE BOOTS</t>
  </si>
  <si>
    <t>WOMEN LEATHER LACEUPS</t>
  </si>
  <si>
    <t>OXFORD SHOES</t>
  </si>
  <si>
    <t>2025-NA-001</t>
  </si>
  <si>
    <t>2025-NA-002</t>
  </si>
  <si>
    <t>2025-NA-003</t>
  </si>
  <si>
    <t>2025-NA-004</t>
  </si>
  <si>
    <t>2025-NA-005</t>
  </si>
  <si>
    <t>2025-NA-006</t>
  </si>
  <si>
    <t>2025-NA-007</t>
  </si>
  <si>
    <t>2025-NA-008</t>
  </si>
  <si>
    <t>2025-NA-009</t>
  </si>
  <si>
    <t>2025-NA-010</t>
  </si>
  <si>
    <t>2025-NA-011</t>
  </si>
  <si>
    <t>2025-NA-012</t>
  </si>
  <si>
    <t>2025-NA-013</t>
  </si>
  <si>
    <t>2025-NA-014</t>
  </si>
  <si>
    <t>2025-NA-015</t>
  </si>
  <si>
    <t>2025-NA-016</t>
  </si>
  <si>
    <t>2025-NA-017</t>
  </si>
  <si>
    <t>2025-NA-018</t>
  </si>
  <si>
    <t>2025-NA-019</t>
  </si>
  <si>
    <t>2025-NA-020</t>
  </si>
  <si>
    <t>2025-NA-021</t>
  </si>
  <si>
    <t>2025-NA-022</t>
  </si>
  <si>
    <t>2025-NA-023</t>
  </si>
  <si>
    <t>2025-NA-024</t>
  </si>
  <si>
    <t>BOOTS</t>
  </si>
  <si>
    <t>2025-M-001</t>
  </si>
  <si>
    <t>HERITAGE RIDGE</t>
  </si>
  <si>
    <t>IRONCLAD COMBAT</t>
  </si>
  <si>
    <t>SUMMIT TRAIL</t>
  </si>
  <si>
    <t>ROYAL GRAIN</t>
  </si>
  <si>
    <t>URBAN REBEL</t>
  </si>
  <si>
    <t>NORDIC EDGE</t>
  </si>
  <si>
    <t>BOOKSTONE CHUKKA</t>
  </si>
  <si>
    <t>CHELSEA FORGE</t>
  </si>
  <si>
    <t>FORMAL SHOES</t>
  </si>
  <si>
    <t>BERLIN MADDOW</t>
  </si>
  <si>
    <t>CHELSEAE</t>
  </si>
  <si>
    <t>LACE PINE</t>
  </si>
  <si>
    <t>MURA MADDOW</t>
  </si>
  <si>
    <t>PEU DANE</t>
  </si>
  <si>
    <t>CAIRO BROWN</t>
  </si>
  <si>
    <t>THERAMPINE STROFF</t>
  </si>
  <si>
    <t>OXFORDS</t>
  </si>
  <si>
    <t>SPORTS SHOES</t>
  </si>
  <si>
    <t>ALL ROUNDERS</t>
  </si>
  <si>
    <t>SPRINTING SHOES</t>
  </si>
  <si>
    <t>BOXING SHOES</t>
  </si>
  <si>
    <t>BADMINTON SHOES</t>
  </si>
  <si>
    <t>FOOTBALL SHOES</t>
  </si>
  <si>
    <t>RUNNERS</t>
  </si>
  <si>
    <t>CYCLER SHOES</t>
  </si>
  <si>
    <t>CRICKET SHOES</t>
  </si>
  <si>
    <t>SNEAKERS</t>
  </si>
  <si>
    <t>AERO FLEX</t>
  </si>
  <si>
    <t>URBAN STRIPE</t>
  </si>
  <si>
    <t>STREET CLASSIC</t>
  </si>
  <si>
    <t>NEO STREET</t>
  </si>
  <si>
    <t>VELOCITY SPOT</t>
  </si>
  <si>
    <t>HERITAGE LACE</t>
  </si>
  <si>
    <t>CLOUD WALK</t>
  </si>
  <si>
    <t>WHITE ASH</t>
  </si>
  <si>
    <t>2025-M-002</t>
  </si>
  <si>
    <t>2025-M-003</t>
  </si>
  <si>
    <t>2025-M-004</t>
  </si>
  <si>
    <t>2025-M-005</t>
  </si>
  <si>
    <t>2025-M-006</t>
  </si>
  <si>
    <t>2025-M-007</t>
  </si>
  <si>
    <t>2025-M-008</t>
  </si>
  <si>
    <t>2025-M-009</t>
  </si>
  <si>
    <t>2025-M-010</t>
  </si>
  <si>
    <t>2025-M-011</t>
  </si>
  <si>
    <t>2025-M-012</t>
  </si>
  <si>
    <t>2025-M-013</t>
  </si>
  <si>
    <t>2025-M-014</t>
  </si>
  <si>
    <t>2025-M-015</t>
  </si>
  <si>
    <t>2025-M-016</t>
  </si>
  <si>
    <t>2025-M-017</t>
  </si>
  <si>
    <t>2025-M-018</t>
  </si>
  <si>
    <t>2025-M-019</t>
  </si>
  <si>
    <t>2025-M-020</t>
  </si>
  <si>
    <t>2025-M-021</t>
  </si>
  <si>
    <t>2025-M-022</t>
  </si>
  <si>
    <t>2025-M-023</t>
  </si>
  <si>
    <t>2025-M-024</t>
  </si>
  <si>
    <t>2025-M-025</t>
  </si>
  <si>
    <t>2025-M-026</t>
  </si>
  <si>
    <t>2025-M-027</t>
  </si>
  <si>
    <t>2025-M-028</t>
  </si>
  <si>
    <t>2025-M-029</t>
  </si>
  <si>
    <t>2025-M-030</t>
  </si>
  <si>
    <t>2025-M-031</t>
  </si>
  <si>
    <t>2025-M-032</t>
  </si>
  <si>
    <t>WOMEN</t>
  </si>
  <si>
    <t>HEELS</t>
  </si>
  <si>
    <t>PARTY SHOES</t>
  </si>
  <si>
    <t>SANDALS</t>
  </si>
  <si>
    <t>BLACK ELEGANCE</t>
  </si>
  <si>
    <t>MOCHA BOWN</t>
  </si>
  <si>
    <t>PEARL NUDE</t>
  </si>
  <si>
    <t>PASTEL GREEN</t>
  </si>
  <si>
    <t>NAVY ROYALE</t>
  </si>
  <si>
    <t>AMBER GLOW</t>
  </si>
  <si>
    <t>SEA MIST</t>
  </si>
  <si>
    <t>DUSTY ROSE</t>
  </si>
  <si>
    <t>WHITE PEARL HEEL</t>
  </si>
  <si>
    <t>EMBELLISHED HEEL</t>
  </si>
  <si>
    <t>SOFT SMOKY HEEL</t>
  </si>
  <si>
    <t>BEIGE TONE HEEL</t>
  </si>
  <si>
    <t>GOLD HEEL</t>
  </si>
  <si>
    <t>LUXURY LONG HEEL</t>
  </si>
  <si>
    <t>TRANSPARENT HEEL</t>
  </si>
  <si>
    <t>BRIGHT PINK HEEL</t>
  </si>
  <si>
    <t>PEARL WALK SHOES</t>
  </si>
  <si>
    <t>CLEAN SLATE SHOES</t>
  </si>
  <si>
    <t>PINK CASUAL WOMEN</t>
  </si>
  <si>
    <t>COCA DRIFT SHOES</t>
  </si>
  <si>
    <t>SOFT SAKURA SHOES</t>
  </si>
  <si>
    <t>WHITE NOVA SHOES</t>
  </si>
  <si>
    <t>SHADOW WALK SHOES</t>
  </si>
  <si>
    <t>SOFT OLIVE SHOES</t>
  </si>
  <si>
    <t>WHITE GOLD</t>
  </si>
  <si>
    <t>PEACH PINK</t>
  </si>
  <si>
    <t>PINK GLOW</t>
  </si>
  <si>
    <t>GOLDEN SHINE</t>
  </si>
  <si>
    <t>CLASSIC BLUE</t>
  </si>
  <si>
    <t>MINT GREEN</t>
  </si>
  <si>
    <t>LEMON YELLOW</t>
  </si>
  <si>
    <t>CLASSIC WHITE</t>
  </si>
  <si>
    <t>KIDS</t>
  </si>
  <si>
    <t>SCHOOL SHOES</t>
  </si>
  <si>
    <t>2025-W-001</t>
  </si>
  <si>
    <t>2025-W-002</t>
  </si>
  <si>
    <t>2025-W-003</t>
  </si>
  <si>
    <t>2025-W-004</t>
  </si>
  <si>
    <t>2025-W-005</t>
  </si>
  <si>
    <t>2025-W-006</t>
  </si>
  <si>
    <t>2025-W-007</t>
  </si>
  <si>
    <t>2025-W-008</t>
  </si>
  <si>
    <t>2025-W-009</t>
  </si>
  <si>
    <t>2025-W-010</t>
  </si>
  <si>
    <t>2025-W-011</t>
  </si>
  <si>
    <t>2025-W-012</t>
  </si>
  <si>
    <t>2025-W-013</t>
  </si>
  <si>
    <t>2025-W-014</t>
  </si>
  <si>
    <t>2025-W-015</t>
  </si>
  <si>
    <t>2025-W-016</t>
  </si>
  <si>
    <t>2025-W-017</t>
  </si>
  <si>
    <t>2025-W-018</t>
  </si>
  <si>
    <t>2025-W-019</t>
  </si>
  <si>
    <t>2025-W-020</t>
  </si>
  <si>
    <t>2025-W-021</t>
  </si>
  <si>
    <t>2025-W-022</t>
  </si>
  <si>
    <t>2025-W-023</t>
  </si>
  <si>
    <t>2025-W-024</t>
  </si>
  <si>
    <t>2025-W-025</t>
  </si>
  <si>
    <t>2025-W-026</t>
  </si>
  <si>
    <t>2025-W-027</t>
  </si>
  <si>
    <t>2025-W-028</t>
  </si>
  <si>
    <t>2025-W-029</t>
  </si>
  <si>
    <t>2025-W-030</t>
  </si>
  <si>
    <t>2025-W-031</t>
  </si>
  <si>
    <t>2025-W-032</t>
  </si>
  <si>
    <t>2025-K-001</t>
  </si>
  <si>
    <t>2025-K-002</t>
  </si>
  <si>
    <t>2025-K-003</t>
  </si>
  <si>
    <t>2025-K-004</t>
  </si>
  <si>
    <t>2025-K-005</t>
  </si>
  <si>
    <t>2025-K-006</t>
  </si>
  <si>
    <t>2025-K-007</t>
  </si>
  <si>
    <t>2025-K-008</t>
  </si>
  <si>
    <t>CLASSIC BLACK</t>
  </si>
  <si>
    <t>OXFPRD JUNIOR</t>
  </si>
  <si>
    <t>DAILY COMFORT</t>
  </si>
  <si>
    <t>STRIDE PRO</t>
  </si>
  <si>
    <t>ELITE JUNIOR</t>
  </si>
  <si>
    <t>MARY JANE</t>
  </si>
  <si>
    <t>PREMIUM VELCRO</t>
  </si>
  <si>
    <t>HIGH GRIP</t>
  </si>
  <si>
    <t>UNISEX</t>
  </si>
  <si>
    <t>3,4,5,6,7,8</t>
  </si>
  <si>
    <t>JOGGERS</t>
  </si>
  <si>
    <t>2025-K-009</t>
  </si>
  <si>
    <t>2025-K-010</t>
  </si>
  <si>
    <t>2025-K-011</t>
  </si>
  <si>
    <t>2025-K-012</t>
  </si>
  <si>
    <t>2025-K-013</t>
  </si>
  <si>
    <t>2025-K-014</t>
  </si>
  <si>
    <t>2025-K-015</t>
  </si>
  <si>
    <t>2025-K-016</t>
  </si>
  <si>
    <t>SPEED SPRINT</t>
  </si>
  <si>
    <t>URBAN DASH</t>
  </si>
  <si>
    <t>FLEX RUNNER</t>
  </si>
  <si>
    <t>FLUFFY TOES</t>
  </si>
  <si>
    <t>PULSE MOTION</t>
  </si>
  <si>
    <t>DAILY ACTIVE</t>
  </si>
  <si>
    <t>BABY</t>
  </si>
  <si>
    <t>2,3,4</t>
  </si>
  <si>
    <t>3,4,5</t>
  </si>
  <si>
    <t>3,4,5,6</t>
  </si>
  <si>
    <t>CROCS</t>
  </si>
  <si>
    <t>2025-K-017</t>
  </si>
  <si>
    <t>2025-K-018</t>
  </si>
  <si>
    <t>2025-K-019</t>
  </si>
  <si>
    <t>2025-K-020</t>
  </si>
  <si>
    <t>2025-K-021</t>
  </si>
  <si>
    <t>2025-K-022</t>
  </si>
  <si>
    <t>2025-K-023</t>
  </si>
  <si>
    <t>2025-K-024</t>
  </si>
  <si>
    <t>PINKY POP</t>
  </si>
  <si>
    <t>AQUA FLEX</t>
  </si>
  <si>
    <t>PLAYTIME BLUE</t>
  </si>
  <si>
    <t>MINI EXPLORER</t>
  </si>
  <si>
    <t>BEAR BUDDIES</t>
  </si>
  <si>
    <t>TURBO RED</t>
  </si>
  <si>
    <t>MINI MINION</t>
  </si>
  <si>
    <t>LIGHTNING STEPS</t>
  </si>
  <si>
    <t>WEDDING CLASSICS</t>
  </si>
  <si>
    <t>BRIDAL HEELS</t>
  </si>
  <si>
    <t>GROOM SHOES</t>
  </si>
  <si>
    <t>2025-WC-001</t>
  </si>
  <si>
    <t>2025-WC-002</t>
  </si>
  <si>
    <t>2025-WC-003</t>
  </si>
  <si>
    <t>2025-WC-004</t>
  </si>
  <si>
    <t>2025-WC-005</t>
  </si>
  <si>
    <t>2025-WC-006</t>
  </si>
  <si>
    <t>2025-WC-007</t>
  </si>
  <si>
    <t>2025-WC-008</t>
  </si>
  <si>
    <t>2025-WC-009</t>
  </si>
  <si>
    <t>2025-WC-010</t>
  </si>
  <si>
    <t>2025-WC-011</t>
  </si>
  <si>
    <t>2025-WC-012</t>
  </si>
  <si>
    <t>2025-WC-013</t>
  </si>
  <si>
    <t>2025-WC-014</t>
  </si>
  <si>
    <t>2025-WC-015</t>
  </si>
  <si>
    <t>2025-WC-016</t>
  </si>
  <si>
    <t>6,7,8,9</t>
  </si>
  <si>
    <t>SILVER TRANSPARENT</t>
  </si>
  <si>
    <t>RED BRIDAL HEELS</t>
  </si>
  <si>
    <t>GOLDEN HEELS</t>
  </si>
  <si>
    <t>PINK GLITTER HEELS</t>
  </si>
  <si>
    <t>IVORY GLITTER HEELS</t>
  </si>
  <si>
    <t>MAROON KHUSSA HEEL</t>
  </si>
  <si>
    <t>GOLDEN FLAT HEEL</t>
  </si>
  <si>
    <t>MIDNIGHT CREST</t>
  </si>
  <si>
    <t>CHESTNUT EMBLEM</t>
  </si>
  <si>
    <t>EMERALD SPECIAL</t>
  </si>
  <si>
    <t>IVORY SHIMMER</t>
  </si>
  <si>
    <t>PEARL WHITE</t>
  </si>
  <si>
    <t>BLUSH TASSEL</t>
  </si>
  <si>
    <t>MAROON REGENT</t>
  </si>
  <si>
    <t>BLACK GOLD</t>
  </si>
  <si>
    <t>ACCESSORIES</t>
  </si>
  <si>
    <t>SHOE POLISH</t>
  </si>
  <si>
    <t>2025-AS-001</t>
  </si>
  <si>
    <t>BLACK LEATHER POLISH</t>
  </si>
  <si>
    <t>LIQUID BLACK SHINER</t>
  </si>
  <si>
    <t>LIQUID BLACK POLISH</t>
  </si>
  <si>
    <t>LIQUID WHITE POLISH</t>
  </si>
  <si>
    <t>INSTANT LEATHER HYDRATOR</t>
  </si>
  <si>
    <t>LIQUID BROWN POLISH</t>
  </si>
  <si>
    <t>WHITE SHOE POLISH</t>
  </si>
  <si>
    <t>BLACK SPRAY POLISH</t>
  </si>
  <si>
    <t>WHITE SPRAY POLISH</t>
  </si>
  <si>
    <t>BLACK SHOE HYDRATOR</t>
  </si>
  <si>
    <t>INSTANT BLACK POLISH</t>
  </si>
  <si>
    <t>BROWN  SHOE POLISH</t>
  </si>
  <si>
    <t>GREY WOOLEN SOCKS</t>
  </si>
  <si>
    <t>BLACK KNEE-HIGHS</t>
  </si>
  <si>
    <t>SANTA RED SOCKS</t>
  </si>
  <si>
    <t>WHITE KNEE-HIGHS</t>
  </si>
  <si>
    <t>CLOWN STRIPLES SOCKS</t>
  </si>
  <si>
    <t>GREY KNEE-HIGHS</t>
  </si>
  <si>
    <t>BLACK LINER SOCKS</t>
  </si>
  <si>
    <t>NAVY GREY KNEE-HIGHS</t>
  </si>
  <si>
    <t>STRIPER BLACK SOCKS</t>
  </si>
  <si>
    <t>SHEEP GREY SOCKS</t>
  </si>
  <si>
    <t>JOKER BLUE KNEE-HIGHS</t>
  </si>
  <si>
    <t>NEUTRAL SHINER EXCLUSIVE</t>
  </si>
  <si>
    <t>RETRO SHOE SHINER</t>
  </si>
  <si>
    <t>FIGADO EXCLUSIVE</t>
  </si>
  <si>
    <t>YOMOLOCCO SHINER</t>
  </si>
  <si>
    <t>WHITE SHOE SHINER</t>
  </si>
  <si>
    <t>BLACK DECKER SHINER KIT</t>
  </si>
  <si>
    <t>CONIC SHOE SHINER</t>
  </si>
  <si>
    <t>2025-AS-002</t>
  </si>
  <si>
    <t>2025-AS-003</t>
  </si>
  <si>
    <t>2025-AS-004</t>
  </si>
  <si>
    <t>2025-AS-005</t>
  </si>
  <si>
    <t>2025-AS-006</t>
  </si>
  <si>
    <t>2025-AS-007</t>
  </si>
  <si>
    <t>2025-AS-008</t>
  </si>
  <si>
    <t>2025-AS-009</t>
  </si>
  <si>
    <t>2025-AS-010</t>
  </si>
  <si>
    <t>2025-AS-011</t>
  </si>
  <si>
    <t>2025-AS-012</t>
  </si>
  <si>
    <t>2025-AS-013</t>
  </si>
  <si>
    <t>2025-AS-014</t>
  </si>
  <si>
    <t>2025-AS-015</t>
  </si>
  <si>
    <t>2025-AS-016</t>
  </si>
  <si>
    <t>2025-AS-017</t>
  </si>
  <si>
    <t>2025-AS-018</t>
  </si>
  <si>
    <t>2025-AS-019</t>
  </si>
  <si>
    <t>2025-AS-020</t>
  </si>
  <si>
    <t>2025-AS-021</t>
  </si>
  <si>
    <t>2025-AS-022</t>
  </si>
  <si>
    <t>2025-AS-023</t>
  </si>
  <si>
    <t>2025-AS-024</t>
  </si>
  <si>
    <t>2025-AS-025</t>
  </si>
  <si>
    <t>2025-AS-026</t>
  </si>
  <si>
    <t>2025-AS-027</t>
  </si>
  <si>
    <t>2025-AS-028</t>
  </si>
  <si>
    <t>2025-AS-029</t>
  </si>
  <si>
    <t>2025-AS-030</t>
  </si>
  <si>
    <t>SOCKS</t>
  </si>
  <si>
    <t>SHINER</t>
  </si>
  <si>
    <t>FEEDBACK  ID</t>
  </si>
  <si>
    <t>CATEGORY</t>
  </si>
  <si>
    <t>SUB-CATEGORY</t>
  </si>
  <si>
    <t>PRODUCT ID</t>
  </si>
  <si>
    <t>PRODUCT MODEL</t>
  </si>
  <si>
    <t>RATING (1-5)</t>
  </si>
  <si>
    <t>CUSTOMER COMMENT</t>
  </si>
  <si>
    <t>SATISFACTION LEVEL</t>
  </si>
  <si>
    <t>DATE</t>
  </si>
  <si>
    <t>FEEDBACK ANALYSIS</t>
  </si>
  <si>
    <t>FB-001</t>
  </si>
  <si>
    <t>FB-002</t>
  </si>
  <si>
    <t>FB-003</t>
  </si>
  <si>
    <t>FB-004</t>
  </si>
  <si>
    <t>FB-005</t>
  </si>
  <si>
    <t>FB-006</t>
  </si>
  <si>
    <t>FB-007</t>
  </si>
  <si>
    <t>FB-008</t>
  </si>
  <si>
    <t>FB-009</t>
  </si>
  <si>
    <t>FB-010</t>
  </si>
  <si>
    <t>FB-011</t>
  </si>
  <si>
    <t>FB-012</t>
  </si>
  <si>
    <t>FB-013</t>
  </si>
  <si>
    <t>FB-014</t>
  </si>
  <si>
    <t>FB-015</t>
  </si>
  <si>
    <t>FB-016</t>
  </si>
  <si>
    <t>FB-017</t>
  </si>
  <si>
    <t>FB-018</t>
  </si>
  <si>
    <t>FB-019</t>
  </si>
  <si>
    <t>FB-020</t>
  </si>
  <si>
    <t>Limited Editions</t>
  </si>
  <si>
    <t>New Arrivals</t>
  </si>
  <si>
    <t>Men</t>
  </si>
  <si>
    <t>Women</t>
  </si>
  <si>
    <t>Kids</t>
  </si>
  <si>
    <t>Wedding Classics</t>
  </si>
  <si>
    <t>Accessories</t>
  </si>
  <si>
    <t>Winters</t>
  </si>
  <si>
    <t>Premium Designs</t>
  </si>
  <si>
    <t>Boots</t>
  </si>
  <si>
    <t xml:space="preserve">Formal Shoes </t>
  </si>
  <si>
    <t>Sneakers</t>
  </si>
  <si>
    <t>Heels</t>
  </si>
  <si>
    <t>Party Shoes</t>
  </si>
  <si>
    <t>Sandals</t>
  </si>
  <si>
    <t>School Shoes</t>
  </si>
  <si>
    <t>Crocs</t>
  </si>
  <si>
    <t>Joggers</t>
  </si>
  <si>
    <t>Bridal Heels</t>
  </si>
  <si>
    <t>Groom Shoes</t>
  </si>
  <si>
    <t>Socks</t>
  </si>
  <si>
    <t>Shiner</t>
  </si>
  <si>
    <t xml:space="preserve">Shoe Polish </t>
  </si>
  <si>
    <t>Black Loafers</t>
  </si>
  <si>
    <t>Women Formals</t>
  </si>
  <si>
    <t>Luxury High Ankles</t>
  </si>
  <si>
    <t>Chelsea Boots</t>
  </si>
  <si>
    <t>Women Leather laceups</t>
  </si>
  <si>
    <t>2025-NA-030</t>
  </si>
  <si>
    <t>Urban Rebel</t>
  </si>
  <si>
    <t>Lace Pine</t>
  </si>
  <si>
    <t>Neo Street</t>
  </si>
  <si>
    <t>Pearl Nude</t>
  </si>
  <si>
    <t>Mint Green</t>
  </si>
  <si>
    <t>Beige Tone Heel</t>
  </si>
  <si>
    <t>Stride Pro</t>
  </si>
  <si>
    <t>Bear Buddies</t>
  </si>
  <si>
    <t>2025-k-021</t>
  </si>
  <si>
    <t>Pulse Motion</t>
  </si>
  <si>
    <t>Golden Heel</t>
  </si>
  <si>
    <t>Midnight Crest</t>
  </si>
  <si>
    <t>Embellished Heel</t>
  </si>
  <si>
    <t>White Spray Polish</t>
  </si>
  <si>
    <t>Sheep Grey Socks</t>
  </si>
  <si>
    <t>Conic Shoe Shiner</t>
  </si>
  <si>
    <t>Elegant design and very comfortable</t>
  </si>
  <si>
    <t>Stylish but slightly stiff</t>
  </si>
  <si>
    <t>Warm and comfortable</t>
  </si>
  <si>
    <t>Very classy and premium look</t>
  </si>
  <si>
    <t>Premium leather quality</t>
  </si>
  <si>
    <t>Strong sole and durable</t>
  </si>
  <si>
    <t xml:space="preserve"> Classic and elegant</t>
  </si>
  <si>
    <t xml:space="preserve">Premium finish </t>
  </si>
  <si>
    <t>Beautiful and comfortable</t>
  </si>
  <si>
    <t>Stylish for parties</t>
  </si>
  <si>
    <t>Love the colour</t>
  </si>
  <si>
    <t>Perfect for school use</t>
  </si>
  <si>
    <t>Kids love the color</t>
  </si>
  <si>
    <t>Love the sole</t>
  </si>
  <si>
    <t>Perfect for wedding wear</t>
  </si>
  <si>
    <t>Make shoes shine well</t>
  </si>
  <si>
    <t>Excellent for wear</t>
  </si>
  <si>
    <t>Increase the shoe value</t>
  </si>
  <si>
    <t>Excellent quality</t>
  </si>
  <si>
    <t>Highly Satisfied</t>
  </si>
  <si>
    <t>Satisfied</t>
  </si>
  <si>
    <t>Campaign ID</t>
  </si>
  <si>
    <t>Marketing Channel</t>
  </si>
  <si>
    <t>Campaign Name</t>
  </si>
  <si>
    <t>Target Category</t>
  </si>
  <si>
    <t>Month</t>
  </si>
  <si>
    <t>Budget Allocated (PKR)</t>
  </si>
  <si>
    <t>Actual Expense (PKR)</t>
  </si>
  <si>
    <t>Purpose</t>
  </si>
  <si>
    <t>Remarks</t>
  </si>
  <si>
    <t>MKT-001</t>
  </si>
  <si>
    <t>Social Media</t>
  </si>
  <si>
    <t>Instagram Winter Ads</t>
  </si>
  <si>
    <t>January</t>
  </si>
  <si>
    <t>Promote winter collection</t>
  </si>
  <si>
    <t>Good engagement</t>
  </si>
  <si>
    <t>MKT-002</t>
  </si>
  <si>
    <t>Facebook Shoe Launch</t>
  </si>
  <si>
    <t>Limited Edition</t>
  </si>
  <si>
    <t>New arrivals promotion</t>
  </si>
  <si>
    <t>High reach</t>
  </si>
  <si>
    <t>MKT-003</t>
  </si>
  <si>
    <t>Google Ads</t>
  </si>
  <si>
    <t>Search Ads Campaign</t>
  </si>
  <si>
    <t>February</t>
  </si>
  <si>
    <t>Increase website traffic</t>
  </si>
  <si>
    <t>Slight over budget</t>
  </si>
  <si>
    <t>MKT-004</t>
  </si>
  <si>
    <t>Influencer</t>
  </si>
  <si>
    <t>Fashion Blogger Promo</t>
  </si>
  <si>
    <t>Brand awareness</t>
  </si>
  <si>
    <t>Positive feedback</t>
  </si>
  <si>
    <t>MKT-005</t>
  </si>
  <si>
    <t>Email Marketing</t>
  </si>
  <si>
    <t>Newsletter Campaign</t>
  </si>
  <si>
    <t>All Categories</t>
  </si>
  <si>
    <t>March</t>
  </si>
  <si>
    <t>Customer retention</t>
  </si>
  <si>
    <t>Good open rate</t>
  </si>
  <si>
    <t>MKT-006</t>
  </si>
  <si>
    <t>Ramzan Sale Ads</t>
  </si>
  <si>
    <t>Promote discounts</t>
  </si>
  <si>
    <t>Effective campaign</t>
  </si>
  <si>
    <t>MKT-007</t>
  </si>
  <si>
    <t>In-Store Promotion</t>
  </si>
  <si>
    <t>Poster &amp; Banners</t>
  </si>
  <si>
    <t>April</t>
  </si>
  <si>
    <t>Seasonal promotion</t>
  </si>
  <si>
    <t>Good response</t>
  </si>
  <si>
    <t>MKT-008</t>
  </si>
  <si>
    <t>Wedding Search Ads</t>
  </si>
  <si>
    <t>Target wedding buyers</t>
  </si>
  <si>
    <t>High conversions</t>
  </si>
  <si>
    <t>MKT-009</t>
  </si>
  <si>
    <t>Kids Collection Promo</t>
  </si>
  <si>
    <t>May</t>
  </si>
  <si>
    <t>Boost kids sales</t>
  </si>
  <si>
    <t>Moderate results</t>
  </si>
  <si>
    <t>MKT-010</t>
  </si>
  <si>
    <t>Mom Blogger Campaign</t>
  </si>
  <si>
    <t>Trust building</t>
  </si>
  <si>
    <t>Very effective</t>
  </si>
  <si>
    <t>MKT-011</t>
  </si>
  <si>
    <t>Summer Shoes Ads</t>
  </si>
  <si>
    <t>June</t>
  </si>
  <si>
    <t>Seasonal launch</t>
  </si>
  <si>
    <t>MKT-012</t>
  </si>
  <si>
    <t>Sale Reminder Emails</t>
  </si>
  <si>
    <t>Increase repeat sales</t>
  </si>
  <si>
    <t>Successful</t>
  </si>
  <si>
    <t>MARKETING  EXPENSE</t>
  </si>
  <si>
    <t>Employee ID</t>
  </si>
  <si>
    <t>Employee Name</t>
  </si>
  <si>
    <t>Designation</t>
  </si>
  <si>
    <t>Department</t>
  </si>
  <si>
    <t>Basic Salary</t>
  </si>
  <si>
    <t>Allowance</t>
  </si>
  <si>
    <t>Deductions</t>
  </si>
  <si>
    <t>Net Salary</t>
  </si>
  <si>
    <t>EMP-001</t>
  </si>
  <si>
    <t>Ali Khan</t>
  </si>
  <si>
    <t>Store Manager</t>
  </si>
  <si>
    <t>Sales</t>
  </si>
  <si>
    <t>EMP-002</t>
  </si>
  <si>
    <t>Ayesha Noor</t>
  </si>
  <si>
    <t>Sales Executive</t>
  </si>
  <si>
    <t>EMP-003</t>
  </si>
  <si>
    <t>Ahmed Raza</t>
  </si>
  <si>
    <t>Inventory Officer</t>
  </si>
  <si>
    <t>Store</t>
  </si>
  <si>
    <t>EMP-004</t>
  </si>
  <si>
    <t>Sana Malik</t>
  </si>
  <si>
    <t>Marketing Assistant</t>
  </si>
  <si>
    <t>Marketing</t>
  </si>
  <si>
    <t>EMP-005</t>
  </si>
  <si>
    <t>Usman Ali</t>
  </si>
  <si>
    <t>Cashier</t>
  </si>
  <si>
    <t>EMP-006</t>
  </si>
  <si>
    <t>Hira Shah</t>
  </si>
  <si>
    <t>Customer Support</t>
  </si>
  <si>
    <t>EMP-007</t>
  </si>
  <si>
    <t>Bilal Ahmed</t>
  </si>
  <si>
    <t>Warehouse Supervisor</t>
  </si>
  <si>
    <t>EMP-008</t>
  </si>
  <si>
    <t>Zara Sheikh</t>
  </si>
  <si>
    <t>Visual Merchandiser</t>
  </si>
  <si>
    <t>EMP-009</t>
  </si>
  <si>
    <t>Hamza Iqbal</t>
  </si>
  <si>
    <t>Sales Coordinator</t>
  </si>
  <si>
    <t>EMP-010</t>
  </si>
  <si>
    <t>Noor Fatima</t>
  </si>
  <si>
    <t>HR Assistant</t>
  </si>
  <si>
    <t>HR</t>
  </si>
  <si>
    <t>EMP-011</t>
  </si>
  <si>
    <t>Salman Butt</t>
  </si>
  <si>
    <t>Accounts Officer</t>
  </si>
  <si>
    <t>Finance</t>
  </si>
  <si>
    <t>EMP-012</t>
  </si>
  <si>
    <t>Maryam Asif</t>
  </si>
  <si>
    <t>Social Media Manager</t>
  </si>
  <si>
    <t>EMPLOYEE  PAYROLL</t>
  </si>
  <si>
    <t>Product ID</t>
  </si>
  <si>
    <t>Product Name</t>
  </si>
  <si>
    <t>Category</t>
  </si>
  <si>
    <t>Gender</t>
  </si>
  <si>
    <t>Size</t>
  </si>
  <si>
    <t>Cost Price</t>
  </si>
  <si>
    <t>Selling Price</t>
  </si>
  <si>
    <t>P-001</t>
  </si>
  <si>
    <t>Formal</t>
  </si>
  <si>
    <t>5-8</t>
  </si>
  <si>
    <t>P-002</t>
  </si>
  <si>
    <t>Lazy Leather Loafers</t>
  </si>
  <si>
    <t>Casual</t>
  </si>
  <si>
    <t>6-9</t>
  </si>
  <si>
    <t>P-003</t>
  </si>
  <si>
    <t>Oxford Shoes</t>
  </si>
  <si>
    <t>P-004</t>
  </si>
  <si>
    <t>Leather Heels</t>
  </si>
  <si>
    <t>P-005</t>
  </si>
  <si>
    <t>P-006</t>
  </si>
  <si>
    <t>Chunky Laceups</t>
  </si>
  <si>
    <t>P-007</t>
  </si>
  <si>
    <t>Brown Derbies</t>
  </si>
  <si>
    <t>P-008</t>
  </si>
  <si>
    <t>Flat Sandals</t>
  </si>
  <si>
    <t>P-009</t>
  </si>
  <si>
    <t>Slip On Shoes</t>
  </si>
  <si>
    <t>P-010</t>
  </si>
  <si>
    <t>Court Shoes</t>
  </si>
  <si>
    <t xml:space="preserve">                                                                                                 </t>
  </si>
  <si>
    <t>CUSTOMER'S ORDERS</t>
  </si>
  <si>
    <t>Units Sold</t>
  </si>
  <si>
    <t>Price Per Unit</t>
  </si>
  <si>
    <t>Total Sales</t>
  </si>
  <si>
    <t>MONTHLY   SALES</t>
  </si>
  <si>
    <t>PRODUCT NAME</t>
  </si>
  <si>
    <t>STOCK</t>
  </si>
  <si>
    <t>TOTAL VALUE</t>
  </si>
  <si>
    <t>WHITE CHUNKY LOAFERS</t>
  </si>
  <si>
    <t>INVENTORY MANAGEMENT</t>
  </si>
  <si>
    <t>Row Labels</t>
  </si>
  <si>
    <t>Sum of STOCK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</si>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</sst>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75C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0" fontId="0" fillId="9" borderId="0" xfId="0" applyFill="1"/>
    <xf numFmtId="0" fontId="8" fillId="0" borderId="0" xfId="0" applyFont="1"/>
    <xf numFmtId="0" fontId="8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5" fontId="11" fillId="0" borderId="0" xfId="0" applyNumberFormat="1" applyFont="1" applyAlignment="1">
      <alignment horizontal="center"/>
    </xf>
    <xf numFmtId="15" fontId="8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textRotation="45"/>
    </xf>
    <xf numFmtId="0" fontId="2" fillId="6" borderId="0" xfId="0" applyFont="1" applyFill="1" applyAlignment="1">
      <alignment horizontal="center" vertical="center" textRotation="45"/>
    </xf>
    <xf numFmtId="0" fontId="2" fillId="7" borderId="0" xfId="0" applyFont="1" applyFill="1" applyAlignment="1">
      <alignment horizontal="center" vertical="center" textRotation="45"/>
    </xf>
    <xf numFmtId="0" fontId="5" fillId="8" borderId="0" xfId="0" applyFont="1" applyFill="1" applyAlignment="1">
      <alignment horizontal="center" vertical="center" textRotation="255"/>
    </xf>
    <xf numFmtId="0" fontId="2" fillId="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textRotation="45"/>
    </xf>
    <xf numFmtId="0" fontId="1" fillId="5" borderId="0" xfId="0" applyFont="1" applyFill="1" applyAlignment="1">
      <alignment horizontal="center" vertical="center" textRotation="45"/>
    </xf>
    <xf numFmtId="0" fontId="2" fillId="5" borderId="0" xfId="0" applyFont="1" applyFill="1" applyAlignment="1">
      <alignment horizontal="center" vertical="center" textRotation="45" wrapText="1"/>
    </xf>
    <xf numFmtId="0" fontId="2" fillId="6" borderId="0" xfId="0" applyFont="1" applyFill="1" applyAlignment="1">
      <alignment horizontal="center" vertical="center" textRotation="45" wrapText="1"/>
    </xf>
    <xf numFmtId="0" fontId="2" fillId="11" borderId="0" xfId="0" applyFont="1" applyFill="1" applyAlignment="1">
      <alignment horizontal="center" vertical="center" textRotation="45"/>
    </xf>
    <xf numFmtId="0" fontId="0" fillId="0" borderId="0" xfId="0" applyAlignment="1">
      <alignment horizontal="center"/>
    </xf>
    <xf numFmtId="0" fontId="0" fillId="0" borderId="0" xfId="0"/>
    <xf numFmtId="0" fontId="12" fillId="2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0" fillId="0" borderId="0" xfId="0" applyAlignment="1">
      <alignment vertical="center" wrapText="1"/>
    </xf>
    <xf numFmtId="0" fontId="8" fillId="1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13" fillId="2" borderId="0" xfId="0" applyFont="1" applyFill="1"/>
    <xf numFmtId="0" fontId="14" fillId="0" borderId="0" xfId="0" applyFont="1"/>
    <xf numFmtId="0" fontId="15" fillId="1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3" fontId="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3" fontId="0" fillId="0" borderId="0" xfId="0" applyNumberFormat="1" applyAlignment="1">
      <alignment horizontal="center" vertical="top" wrapText="1"/>
    </xf>
    <xf numFmtId="49" fontId="0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3" fontId="0" fillId="0" borderId="0" xfId="0" applyNumberFormat="1" applyFont="1" applyAlignment="1">
      <alignment horizontal="center" vertical="top"/>
    </xf>
    <xf numFmtId="49" fontId="16" fillId="0" borderId="0" xfId="0" applyNumberFormat="1" applyFont="1" applyAlignment="1">
      <alignment horizontal="center" vertical="top"/>
    </xf>
    <xf numFmtId="0" fontId="0" fillId="9" borderId="0" xfId="0" applyFont="1" applyFill="1" applyAlignment="1">
      <alignment horizontal="center" vertical="top"/>
    </xf>
    <xf numFmtId="0" fontId="8" fillId="12" borderId="0" xfId="0" applyFont="1" applyFill="1" applyAlignment="1">
      <alignment horizontal="center" vertical="top" wrapText="1"/>
    </xf>
    <xf numFmtId="0" fontId="1" fillId="13" borderId="0" xfId="0" applyFont="1" applyFill="1"/>
    <xf numFmtId="0" fontId="0" fillId="0" borderId="0" xfId="0" pivotButton="1" applyFont="1"/>
    <xf numFmtId="0" fontId="0" fillId="0" borderId="0" xfId="0" applyFont="1" applyAlignment="1">
      <alignment horizontal="left"/>
    </xf>
    <xf numFmtId="0" fontId="0" fillId="0" borderId="0" xfId="0" applyNumberFormat="1" applyFont="1"/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373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A3-441B-A053-0F1E397303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A3-441B-A053-0F1E397303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A3-441B-A053-0F1E397303F0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A3-441B-A053-0F1E397303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A3-441B-A053-0F1E397303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A3-441B-A053-0F1E397303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4A3-441B-A053-0F1E397303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4A3-441B-A053-0F1E397303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Lit>
              <c:ptCount val="9"/>
              <c:pt idx="0">
                <c:v>ACCESSORIES</c:v>
              </c:pt>
              <c:pt idx="1">
                <c:v>KIDS</c:v>
              </c:pt>
              <c:pt idx="2">
                <c:v>LIMITED EDITION</c:v>
              </c:pt>
              <c:pt idx="3">
                <c:v>MEN</c:v>
              </c:pt>
              <c:pt idx="4">
                <c:v>PREMIUM DESIGNS</c:v>
              </c:pt>
              <c:pt idx="5">
                <c:v>WEDDING CLASSICS</c:v>
              </c:pt>
              <c:pt idx="6">
                <c:v>WINTERS</c:v>
              </c:pt>
              <c:pt idx="7">
                <c:v>WOMEN</c:v>
              </c:pt>
              <c:pt idx="8">
                <c:v>Formula1</c:v>
              </c:pt>
            </c:strLit>
          </c:cat>
          <c:val>
            <c:numLit>
              <c:formatCode>General</c:formatCode>
              <c:ptCount val="9"/>
              <c:pt idx="0">
                <c:v>515</c:v>
              </c:pt>
              <c:pt idx="1">
                <c:v>405</c:v>
              </c:pt>
              <c:pt idx="2">
                <c:v>142</c:v>
              </c:pt>
              <c:pt idx="3">
                <c:v>514</c:v>
              </c:pt>
              <c:pt idx="4">
                <c:v>150</c:v>
              </c:pt>
              <c:pt idx="5">
                <c:v>263</c:v>
              </c:pt>
              <c:pt idx="6">
                <c:v>113</c:v>
              </c:pt>
              <c:pt idx="7">
                <c:v>514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0-C4A3-441B-A053-0F1E3973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Sales'!$A$3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Sales'!$E$3</c:f>
              <c:numCache>
                <c:formatCode>#,##0</c:formatCode>
                <c:ptCount val="1"/>
                <c:pt idx="0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8-4515-9977-5EA67E25023A}"/>
            </c:ext>
          </c:extLst>
        </c:ser>
        <c:ser>
          <c:idx val="1"/>
          <c:order val="1"/>
          <c:tx>
            <c:strRef>
              <c:f>'Monthly Sales'!$A$4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Sales'!$E$4</c:f>
              <c:numCache>
                <c:formatCode>#,##0</c:formatCode>
                <c:ptCount val="1"/>
                <c:pt idx="0">
                  <c:v>351000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8-4515-9977-5EA67E25023A}"/>
            </c:ext>
          </c:extLst>
        </c:ser>
        <c:ser>
          <c:idx val="2"/>
          <c:order val="2"/>
          <c:tx>
            <c:strRef>
              <c:f>'Monthly Sales'!$A$5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Sales'!$E$5</c:f>
              <c:numCache>
                <c:formatCode>#,##0</c:formatCode>
                <c:ptCount val="1"/>
                <c:pt idx="0">
                  <c:v>518000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58-4515-9977-5EA67E25023A}"/>
            </c:ext>
          </c:extLst>
        </c:ser>
        <c:ser>
          <c:idx val="3"/>
          <c:order val="3"/>
          <c:tx>
            <c:strRef>
              <c:f>'Monthly Sales'!$A$6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Sales'!$E$6</c:f>
              <c:numCache>
                <c:formatCode>#,##0</c:formatCode>
                <c:ptCount val="1"/>
                <c:pt idx="0">
                  <c:v>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8-4515-9977-5EA67E25023A}"/>
            </c:ext>
          </c:extLst>
        </c:ser>
        <c:ser>
          <c:idx val="4"/>
          <c:order val="4"/>
          <c:tx>
            <c:strRef>
              <c:f>'Monthly Sales'!$A$7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Sales'!$E$7</c:f>
              <c:numCache>
                <c:formatCode>General</c:formatCode>
                <c:ptCount val="1"/>
                <c:pt idx="0">
                  <c:v>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8-4515-9977-5EA67E25023A}"/>
            </c:ext>
          </c:extLst>
        </c:ser>
        <c:ser>
          <c:idx val="5"/>
          <c:order val="5"/>
          <c:tx>
            <c:strRef>
              <c:f>'Monthly Sales'!$A$8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Sales'!$E$8</c:f>
              <c:numCache>
                <c:formatCode>General</c:formatCode>
                <c:ptCount val="1"/>
                <c:pt idx="0">
                  <c:v>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58-4515-9977-5EA67E25023A}"/>
            </c:ext>
          </c:extLst>
        </c:ser>
        <c:ser>
          <c:idx val="6"/>
          <c:order val="6"/>
          <c:tx>
            <c:strRef>
              <c:f>'Monthly Sales'!$A$9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Sales'!$E$9</c:f>
              <c:numCache>
                <c:formatCode>#,##0</c:formatCode>
                <c:ptCount val="1"/>
                <c:pt idx="0">
                  <c:v>368000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58-4515-9977-5EA67E25023A}"/>
            </c:ext>
          </c:extLst>
        </c:ser>
        <c:ser>
          <c:idx val="7"/>
          <c:order val="7"/>
          <c:tx>
            <c:strRef>
              <c:f>'Monthly Sales'!$A$10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Sales'!$E$10</c:f>
              <c:numCache>
                <c:formatCode>#,##0</c:formatCode>
                <c:ptCount val="1"/>
                <c:pt idx="0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58-4515-9977-5EA67E25023A}"/>
            </c:ext>
          </c:extLst>
        </c:ser>
        <c:ser>
          <c:idx val="8"/>
          <c:order val="8"/>
          <c:tx>
            <c:strRef>
              <c:f>'Monthly Sales'!$A$11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Sales'!$E$11</c:f>
              <c:numCache>
                <c:formatCode>#,##0</c:formatCode>
                <c:ptCount val="1"/>
                <c:pt idx="0">
                  <c:v>392000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58-4515-9977-5EA67E25023A}"/>
            </c:ext>
          </c:extLst>
        </c:ser>
        <c:ser>
          <c:idx val="9"/>
          <c:order val="9"/>
          <c:tx>
            <c:strRef>
              <c:f>'Monthly Sales'!$A$12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Sales'!$E$12</c:f>
              <c:numCache>
                <c:formatCode>#,##0</c:formatCode>
                <c:ptCount val="1"/>
                <c:pt idx="0">
                  <c:v>342000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58-4515-9977-5EA67E250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774127"/>
        <c:axId val="425982447"/>
      </c:barChart>
      <c:catAx>
        <c:axId val="42777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82447"/>
        <c:crosses val="autoZero"/>
        <c:auto val="1"/>
        <c:lblAlgn val="ctr"/>
        <c:lblOffset val="100"/>
        <c:noMultiLvlLbl val="0"/>
      </c:catAx>
      <c:valAx>
        <c:axId val="4259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7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'Customers'' Orders'!$B$3</c:f>
              <c:strCache>
                <c:ptCount val="1"/>
                <c:pt idx="0">
                  <c:v>Black Loafers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Orders'!$G$3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5-42B3-BF8A-4C778D962E8C}"/>
            </c:ext>
          </c:extLst>
        </c:ser>
        <c:ser>
          <c:idx val="1"/>
          <c:order val="1"/>
          <c:tx>
            <c:strRef>
              <c:f>'Customers'' Orders'!$B$4</c:f>
              <c:strCache>
                <c:ptCount val="1"/>
                <c:pt idx="0">
                  <c:v>Lazy Leather Loafers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Orders'!$G$4</c:f>
              <c:numCache>
                <c:formatCode>General</c:formatCode>
                <c:ptCount val="1"/>
                <c:pt idx="0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5-42B3-BF8A-4C778D962E8C}"/>
            </c:ext>
          </c:extLst>
        </c:ser>
        <c:ser>
          <c:idx val="2"/>
          <c:order val="2"/>
          <c:tx>
            <c:strRef>
              <c:f>'Customers'' Orders'!$B$5</c:f>
              <c:strCache>
                <c:ptCount val="1"/>
                <c:pt idx="0">
                  <c:v>Oxford Shoes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Orders'!$G$5</c:f>
              <c:numCache>
                <c:formatCode>General</c:formatCode>
                <c:ptCount val="1"/>
                <c:pt idx="0">
                  <c:v>25900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45-42B3-BF8A-4C778D962E8C}"/>
            </c:ext>
          </c:extLst>
        </c:ser>
        <c:ser>
          <c:idx val="3"/>
          <c:order val="3"/>
          <c:tx>
            <c:strRef>
              <c:f>'Customers'' Orders'!$B$6</c:f>
              <c:strCache>
                <c:ptCount val="1"/>
                <c:pt idx="0">
                  <c:v>Leather Heels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Orders'!$G$6</c:f>
              <c:numCache>
                <c:formatCode>General</c:formatCode>
                <c:ptCount val="1"/>
                <c:pt idx="0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45-42B3-BF8A-4C778D962E8C}"/>
            </c:ext>
          </c:extLst>
        </c:ser>
        <c:ser>
          <c:idx val="4"/>
          <c:order val="4"/>
          <c:tx>
            <c:strRef>
              <c:f>'Customers'' Orders'!$B$7</c:f>
              <c:strCache>
                <c:ptCount val="1"/>
                <c:pt idx="0">
                  <c:v>Chelsea Boots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Orders'!$G$7</c:f>
              <c:numCache>
                <c:formatCode>General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45-42B3-BF8A-4C778D962E8C}"/>
            </c:ext>
          </c:extLst>
        </c:ser>
        <c:ser>
          <c:idx val="5"/>
          <c:order val="5"/>
          <c:tx>
            <c:strRef>
              <c:f>'Customers'' Orders'!$B$8</c:f>
              <c:strCache>
                <c:ptCount val="1"/>
                <c:pt idx="0">
                  <c:v>Chunky Laceups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Orders'!$G$8</c:f>
              <c:numCache>
                <c:formatCode>General</c:formatCode>
                <c:ptCount val="1"/>
                <c:pt idx="0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45-42B3-BF8A-4C778D962E8C}"/>
            </c:ext>
          </c:extLst>
        </c:ser>
        <c:ser>
          <c:idx val="6"/>
          <c:order val="6"/>
          <c:tx>
            <c:strRef>
              <c:f>'Customers'' Orders'!$B$9</c:f>
              <c:strCache>
                <c:ptCount val="1"/>
                <c:pt idx="0">
                  <c:v>Brown Derbies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Orders'!$G$9</c:f>
              <c:numCache>
                <c:formatCode>General</c:formatCode>
                <c:ptCount val="1"/>
                <c:pt idx="0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45-42B3-BF8A-4C778D962E8C}"/>
            </c:ext>
          </c:extLst>
        </c:ser>
        <c:ser>
          <c:idx val="7"/>
          <c:order val="7"/>
          <c:tx>
            <c:strRef>
              <c:f>'Customers'' Orders'!$B$10</c:f>
              <c:strCache>
                <c:ptCount val="1"/>
                <c:pt idx="0">
                  <c:v>Flat Sandals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Orders'!$G$10</c:f>
              <c:numCache>
                <c:formatCode>General</c:formatCode>
                <c:ptCount val="1"/>
                <c:pt idx="0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45-42B3-BF8A-4C778D962E8C}"/>
            </c:ext>
          </c:extLst>
        </c:ser>
        <c:ser>
          <c:idx val="8"/>
          <c:order val="8"/>
          <c:tx>
            <c:strRef>
              <c:f>'Customers'' Orders'!$B$11</c:f>
              <c:strCache>
                <c:ptCount val="1"/>
                <c:pt idx="0">
                  <c:v>Slip On Shoes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Orders'!$G$11</c:f>
              <c:numCache>
                <c:formatCode>General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45-42B3-BF8A-4C778D962E8C}"/>
            </c:ext>
          </c:extLst>
        </c:ser>
        <c:ser>
          <c:idx val="9"/>
          <c:order val="9"/>
          <c:tx>
            <c:strRef>
              <c:f>'Customers'' Orders'!$B$12</c:f>
              <c:strCache>
                <c:ptCount val="1"/>
                <c:pt idx="0">
                  <c:v>Court Shoes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Orders'!$G$12</c:f>
              <c:numCache>
                <c:formatCode>General</c:formatCode>
                <c:ptCount val="1"/>
                <c:pt idx="0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45-42B3-BF8A-4C778D96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5275215"/>
        <c:axId val="505274735"/>
      </c:barChart>
      <c:catAx>
        <c:axId val="50527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74735"/>
        <c:crosses val="autoZero"/>
        <c:auto val="1"/>
        <c:lblAlgn val="ctr"/>
        <c:lblOffset val="100"/>
        <c:noMultiLvlLbl val="0"/>
      </c:catAx>
      <c:valAx>
        <c:axId val="5052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 Payroll'!$H$2</c:f>
              <c:strCache>
                <c:ptCount val="1"/>
                <c:pt idx="0">
                  <c:v>Net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Payroll'!$B$3:$B$14</c:f>
              <c:strCache>
                <c:ptCount val="12"/>
                <c:pt idx="0">
                  <c:v>Ali Khan</c:v>
                </c:pt>
                <c:pt idx="1">
                  <c:v>Ayesha Noor</c:v>
                </c:pt>
                <c:pt idx="2">
                  <c:v>Ahmed Raza</c:v>
                </c:pt>
                <c:pt idx="3">
                  <c:v>Sana Malik</c:v>
                </c:pt>
                <c:pt idx="4">
                  <c:v>Usman Ali</c:v>
                </c:pt>
                <c:pt idx="5">
                  <c:v>Hira Shah</c:v>
                </c:pt>
                <c:pt idx="6">
                  <c:v>Bilal Ahmed</c:v>
                </c:pt>
                <c:pt idx="7">
                  <c:v>Zara Sheikh</c:v>
                </c:pt>
                <c:pt idx="8">
                  <c:v>Hamza Iqbal</c:v>
                </c:pt>
                <c:pt idx="9">
                  <c:v>Noor Fatima</c:v>
                </c:pt>
                <c:pt idx="10">
                  <c:v>Salman Butt</c:v>
                </c:pt>
                <c:pt idx="11">
                  <c:v>Maryam Asif</c:v>
                </c:pt>
              </c:strCache>
            </c:strRef>
          </c:cat>
          <c:val>
            <c:numRef>
              <c:f>'Employee Payroll'!$H$3:$H$14</c:f>
              <c:numCache>
                <c:formatCode>#,##0</c:formatCode>
                <c:ptCount val="12"/>
                <c:pt idx="0">
                  <c:v>57000</c:v>
                </c:pt>
                <c:pt idx="1">
                  <c:v>36500</c:v>
                </c:pt>
                <c:pt idx="2">
                  <c:v>40000</c:v>
                </c:pt>
                <c:pt idx="3">
                  <c:v>46500</c:v>
                </c:pt>
                <c:pt idx="4">
                  <c:v>31000</c:v>
                </c:pt>
                <c:pt idx="5">
                  <c:v>33300</c:v>
                </c:pt>
                <c:pt idx="6">
                  <c:v>39200</c:v>
                </c:pt>
                <c:pt idx="7">
                  <c:v>43500</c:v>
                </c:pt>
                <c:pt idx="8">
                  <c:v>37300</c:v>
                </c:pt>
                <c:pt idx="9">
                  <c:v>35200</c:v>
                </c:pt>
                <c:pt idx="10">
                  <c:v>49200</c:v>
                </c:pt>
                <c:pt idx="11">
                  <c:v>48300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B-47E0-A9A0-7C15F6E9C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0213343"/>
        <c:axId val="420215263"/>
      </c:barChart>
      <c:catAx>
        <c:axId val="42021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215263"/>
        <c:crosses val="autoZero"/>
        <c:auto val="1"/>
        <c:lblAlgn val="ctr"/>
        <c:lblOffset val="100"/>
        <c:noMultiLvlLbl val="0"/>
      </c:catAx>
      <c:valAx>
        <c:axId val="42021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21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'MArketing expense'!$G$2</c:f>
              <c:strCache>
                <c:ptCount val="1"/>
                <c:pt idx="0">
                  <c:v>Budget Allocated (PKR)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'MArketing expense'!$G$3:$G$14</c:f>
              <c:numCache>
                <c:formatCode>General</c:formatCode>
                <c:ptCount val="12"/>
                <c:pt idx="0">
                  <c:v>50000</c:v>
                </c:pt>
                <c:pt idx="1">
                  <c:v>40000</c:v>
                </c:pt>
                <c:pt idx="2">
                  <c:v>60000</c:v>
                </c:pt>
                <c:pt idx="3">
                  <c:v>45000</c:v>
                </c:pt>
                <c:pt idx="4">
                  <c:v>20000</c:v>
                </c:pt>
                <c:pt idx="5">
                  <c:v>30000</c:v>
                </c:pt>
                <c:pt idx="6">
                  <c:v>25000</c:v>
                </c:pt>
                <c:pt idx="7">
                  <c:v>55000</c:v>
                </c:pt>
                <c:pt idx="8">
                  <c:v>35000</c:v>
                </c:pt>
                <c:pt idx="9">
                  <c:v>40000</c:v>
                </c:pt>
                <c:pt idx="10">
                  <c:v>48000</c:v>
                </c:pt>
                <c:pt idx="11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8-4497-8AF6-0514181B68A4}"/>
            </c:ext>
          </c:extLst>
        </c:ser>
        <c:ser>
          <c:idx val="1"/>
          <c:order val="1"/>
          <c:tx>
            <c:strRef>
              <c:f>'MArketing expense'!$H$2</c:f>
              <c:strCache>
                <c:ptCount val="1"/>
                <c:pt idx="0">
                  <c:v>Actual Expense (PKR)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'MArketing expense'!$H$3:$H$14</c:f>
              <c:numCache>
                <c:formatCode>General</c:formatCode>
                <c:ptCount val="12"/>
                <c:pt idx="0">
                  <c:v>47000</c:v>
                </c:pt>
                <c:pt idx="1">
                  <c:v>38000</c:v>
                </c:pt>
                <c:pt idx="2">
                  <c:v>62000</c:v>
                </c:pt>
                <c:pt idx="3">
                  <c:v>43000</c:v>
                </c:pt>
                <c:pt idx="4">
                  <c:v>18000</c:v>
                </c:pt>
                <c:pt idx="5">
                  <c:v>29000</c:v>
                </c:pt>
                <c:pt idx="6">
                  <c:v>24000</c:v>
                </c:pt>
                <c:pt idx="7">
                  <c:v>53000</c:v>
                </c:pt>
                <c:pt idx="8">
                  <c:v>33000</c:v>
                </c:pt>
                <c:pt idx="9">
                  <c:v>39000</c:v>
                </c:pt>
                <c:pt idx="10">
                  <c:v>46000</c:v>
                </c:pt>
                <c:pt idx="11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8-4497-8AF6-0514181B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871711"/>
        <c:axId val="363872191"/>
      </c:barChart>
      <c:catAx>
        <c:axId val="3638717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72191"/>
        <c:crosses val="autoZero"/>
        <c:auto val="1"/>
        <c:lblAlgn val="ctr"/>
        <c:lblOffset val="100"/>
        <c:noMultiLvlLbl val="0"/>
      </c:catAx>
      <c:valAx>
        <c:axId val="36387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7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'Feedback Analysis'!$G$2</c:f>
              <c:strCache>
                <c:ptCount val="1"/>
                <c:pt idx="0">
                  <c:v>RATING (1-5)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'Feedback Analysis'!$G$3:$G$23</c:f>
              <c:numCache>
                <c:formatCode>General</c:formatCode>
                <c:ptCount val="21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7-4616-A3B7-F324B9AF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067087"/>
        <c:axId val="308063727"/>
      </c:lineChart>
      <c:catAx>
        <c:axId val="3080670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63727"/>
        <c:auto val="1"/>
        <c:lblAlgn val="ctr"/>
        <c:lblOffset val="100"/>
        <c:noMultiLvlLbl val="0"/>
      </c:catAx>
      <c:valAx>
        <c:axId val="30806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67087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164</xdr:row>
      <xdr:rowOff>180975</xdr:rowOff>
    </xdr:from>
    <xdr:to>
      <xdr:col>3</xdr:col>
      <xdr:colOff>628650</xdr:colOff>
      <xdr:row>181</xdr:row>
      <xdr:rowOff>42863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96EE03-D699-42A0-B6F5-4D6B6AAD2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498660</xdr:colOff>
      <xdr:row>13</xdr:row>
      <xdr:rowOff>253253</xdr:rowOff>
    </xdr:from>
    <xdr:to>
      <xdr:col>3</xdr:col>
      <xdr:colOff>907675</xdr:colOff>
      <xdr:row>26</xdr:row>
      <xdr:rowOff>78441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19D7A-1AE4-5E79-7D7F-B9C3B87CF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271462</xdr:colOff>
      <xdr:row>14</xdr:row>
      <xdr:rowOff>123825</xdr:rowOff>
    </xdr:from>
    <xdr:to>
      <xdr:col>3</xdr:col>
      <xdr:colOff>1290637</xdr:colOff>
      <xdr:row>29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AE294E-F8BD-EDA2-D96D-CCE52E448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195262</xdr:colOff>
      <xdr:row>15</xdr:row>
      <xdr:rowOff>114300</xdr:rowOff>
    </xdr:from>
    <xdr:to>
      <xdr:col>3</xdr:col>
      <xdr:colOff>985837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55152-8920-4E4A-73C1-D8BC8C664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323021</xdr:colOff>
      <xdr:row>15</xdr:row>
      <xdr:rowOff>127553</xdr:rowOff>
    </xdr:from>
    <xdr:to>
      <xdr:col>4</xdr:col>
      <xdr:colOff>306456</xdr:colOff>
      <xdr:row>30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3EA58-2CFE-743F-70EB-89F481770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25</xdr:row>
      <xdr:rowOff>42862</xdr:rowOff>
    </xdr:from>
    <xdr:to>
      <xdr:col>6</xdr:col>
      <xdr:colOff>285750</xdr:colOff>
      <xdr:row>39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50883-D339-FC6D-B31D-FC92D4D5B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lha Khan" refreshedDate="46026.503007523148" createdVersion="8" refreshedVersion="8" minRefreshableVersion="3" recordCount="158" xr:uid="{35A82686-9A26-40C1-949B-2448CC2D7D0F}">
  <cacheSource type="worksheet">
    <worksheetSource ref="A2:J160" sheet="Inventory Management"/>
  </cacheSource>
  <cacheFields count="10">
    <cacheField name="SR#" numFmtId="0">
      <sharedItems containsSemiMixedTypes="0" containsString="0" containsNumber="1" containsInteger="1" minValue="1" maxValue="158" count="15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</sharedItems>
    </cacheField>
    <cacheField name="PRODUCT ID" numFmtId="0">
      <sharedItems/>
    </cacheField>
    <cacheField name="PRODUCT NAME" numFmtId="0">
      <sharedItems/>
    </cacheField>
    <cacheField name="CATEGORY" numFmtId="0">
      <sharedItems count="9">
        <s v="LIMITED EDITION"/>
        <s v="WINTERS"/>
        <s v="PREMIUM DESIGNS"/>
        <s v="MEN"/>
        <s v="WOMEN"/>
        <s v="KIDS"/>
        <s v="WEDDING CLASSICS"/>
        <s v="ACCESSORIES"/>
        <s v="Formula1" f="1"/>
      </sharedItems>
    </cacheField>
    <cacheField name="GENDER" numFmtId="0">
      <sharedItems containsBlank="1" count="4">
        <s v="FEMALE"/>
        <s v="MALE"/>
        <s v="UNISEX"/>
        <m/>
      </sharedItems>
    </cacheField>
    <cacheField name="SIZE" numFmtId="0">
      <sharedItems containsBlank="1"/>
    </cacheField>
    <cacheField name="STOCK" numFmtId="0">
      <sharedItems containsString="0" containsBlank="1" containsNumber="1" containsInteger="1" minValue="10" maxValue="25"/>
    </cacheField>
    <cacheField name="COST PRICE" numFmtId="0">
      <sharedItems containsSemiMixedTypes="0" containsString="0" containsNumber="1" containsInteger="1" minValue="100" maxValue="53000"/>
    </cacheField>
    <cacheField name="SELLING PRICE" numFmtId="0">
      <sharedItems containsSemiMixedTypes="0" containsString="0" containsNumber="1" containsInteger="1" minValue="300" maxValue="55000"/>
    </cacheField>
    <cacheField name="TOTAL VALUE" numFmtId="0">
      <sharedItems containsSemiMixedTypes="0" containsString="0" containsNumber="1" containsInteger="1" minValue="0" maxValue="742000"/>
    </cacheField>
  </cacheFields>
  <calculatedItems count="1">
    <calculatedItem>
      <pivotArea cacheIndex="1" outline="0" fieldPosition="0">
        <references count="1">
          <reference field="3" count="1">
            <x v="8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s v="2025-NA-001"/>
    <s v="BLACK LOAFERS"/>
    <x v="0"/>
    <x v="0"/>
    <s v="5,6,7,8"/>
    <n v="25"/>
    <n v="8500"/>
    <n v="10000"/>
    <n v="212500"/>
  </r>
  <r>
    <x v="1"/>
    <s v="2025-NA-002"/>
    <s v="LAZY LEATHER LOAFERS"/>
    <x v="0"/>
    <x v="1"/>
    <s v="5,6,7,8,9"/>
    <n v="18"/>
    <n v="18000"/>
    <n v="19500"/>
    <n v="324000"/>
  </r>
  <r>
    <x v="2"/>
    <s v="2025-NA-003"/>
    <s v="BLACK LEATHER LOAFERS"/>
    <x v="0"/>
    <x v="1"/>
    <s v="5,6,7,8,9"/>
    <n v="20"/>
    <n v="14700"/>
    <n v="16200"/>
    <n v="294000"/>
  </r>
  <r>
    <x v="3"/>
    <s v="2025-NA-004"/>
    <s v="FORMAL LOAFERS"/>
    <x v="0"/>
    <x v="1"/>
    <s v="5,6,7,8,9"/>
    <n v="15"/>
    <n v="13000"/>
    <n v="14500"/>
    <n v="195000"/>
  </r>
  <r>
    <x v="4"/>
    <s v="2025-NA-005"/>
    <s v="LEATHER FORMALS"/>
    <x v="0"/>
    <x v="1"/>
    <s v="5,6,7,8,9"/>
    <n v="18"/>
    <n v="16400"/>
    <n v="17900"/>
    <n v="295200"/>
  </r>
  <r>
    <x v="5"/>
    <s v="2025-NA-006"/>
    <s v="SHEEP SKIN LOAFERS"/>
    <x v="0"/>
    <x v="0"/>
    <s v="5,6,7,8"/>
    <n v="12"/>
    <n v="13500"/>
    <n v="15000"/>
    <n v="162000"/>
  </r>
  <r>
    <x v="6"/>
    <s v="2025-NA-007"/>
    <s v="WOMEN FORMALS"/>
    <x v="0"/>
    <x v="0"/>
    <s v="5,6,7,8"/>
    <n v="14"/>
    <n v="8000"/>
    <n v="9500"/>
    <n v="112000"/>
  </r>
  <r>
    <x v="7"/>
    <s v="2025-NA-008"/>
    <s v="WHITE CHUNKY LOAFERS"/>
    <x v="0"/>
    <x v="0"/>
    <s v="5,6,7,8"/>
    <n v="20"/>
    <n v="10000"/>
    <n v="11500"/>
    <n v="200000"/>
  </r>
  <r>
    <x v="8"/>
    <s v="2025-NA-009"/>
    <s v="WATERPROOF SNEAKERS"/>
    <x v="1"/>
    <x v="1"/>
    <s v="5,6,7,8,9"/>
    <n v="22"/>
    <n v="13500"/>
    <n v="15000"/>
    <n v="297000"/>
  </r>
  <r>
    <x v="9"/>
    <s v="2025-NA-010"/>
    <s v="SNOWGIP SNEAKERS"/>
    <x v="1"/>
    <x v="1"/>
    <s v="5,6,7,8,9"/>
    <n v="18"/>
    <n v="11000"/>
    <n v="12500"/>
    <n v="198000"/>
  </r>
  <r>
    <x v="10"/>
    <s v="2025-NA-011"/>
    <s v="INSULATED HIGH-SOLES"/>
    <x v="1"/>
    <x v="0"/>
    <s v="5,6,7,8"/>
    <n v="14"/>
    <n v="14500"/>
    <n v="16000"/>
    <n v="203000"/>
  </r>
  <r>
    <x v="11"/>
    <s v="2025-NA-012"/>
    <s v="LUXURY HIGH ANKLES"/>
    <x v="1"/>
    <x v="0"/>
    <s v="5,6,7,8"/>
    <n v="12"/>
    <n v="13000"/>
    <n v="14500"/>
    <n v="156000"/>
  </r>
  <r>
    <x v="12"/>
    <s v="2025-NA-013"/>
    <s v="WOMEN LUXURY LEATHER"/>
    <x v="1"/>
    <x v="0"/>
    <s v="5,6,7,8"/>
    <n v="10"/>
    <n v="16000"/>
    <n v="17500"/>
    <n v="160000"/>
  </r>
  <r>
    <x v="13"/>
    <s v="2025-NA-014"/>
    <s v="LEATHER HEELS"/>
    <x v="1"/>
    <x v="0"/>
    <s v="5,6,7,8"/>
    <n v="15"/>
    <n v="23500"/>
    <n v="25000"/>
    <n v="352500"/>
  </r>
  <r>
    <x v="14"/>
    <s v="2025-NA-015"/>
    <s v="TURKISH LEATHER BOOTS"/>
    <x v="1"/>
    <x v="0"/>
    <s v="5,6,7,8"/>
    <n v="12"/>
    <n v="24000"/>
    <n v="25500"/>
    <n v="288000"/>
  </r>
  <r>
    <x v="15"/>
    <s v="2025-NA-016"/>
    <s v="WOMEN ANKLE BOOTS"/>
    <x v="1"/>
    <x v="0"/>
    <s v="5,6,7,8"/>
    <n v="10"/>
    <n v="19000"/>
    <n v="20500"/>
    <n v="190000"/>
  </r>
  <r>
    <x v="16"/>
    <s v="2025-NA-017"/>
    <s v="BLACK CHELSEA"/>
    <x v="2"/>
    <x v="0"/>
    <s v="5,6,7,8"/>
    <n v="18"/>
    <n v="13500"/>
    <n v="15000"/>
    <n v="243000"/>
  </r>
  <r>
    <x v="17"/>
    <s v="2025-NA-018"/>
    <s v="BROUGE SHOES"/>
    <x v="2"/>
    <x v="0"/>
    <s v="5,6,7,8"/>
    <n v="12"/>
    <n v="24000"/>
    <n v="25500"/>
    <n v="288000"/>
  </r>
  <r>
    <x v="18"/>
    <s v="2025-NA-019"/>
    <s v="CHELSEA BOOTS"/>
    <x v="2"/>
    <x v="0"/>
    <s v="5,6,7,8"/>
    <n v="20"/>
    <n v="16700"/>
    <n v="18200"/>
    <n v="334000"/>
  </r>
  <r>
    <x v="19"/>
    <s v="2025-NA-020"/>
    <s v="CHUNKY LACEUPS"/>
    <x v="2"/>
    <x v="0"/>
    <s v="5,6,7,8"/>
    <n v="22"/>
    <n v="23400"/>
    <n v="24900"/>
    <n v="514800"/>
  </r>
  <r>
    <x v="20"/>
    <s v="2025-NA-021"/>
    <s v="ITALIAN LEATHER"/>
    <x v="2"/>
    <x v="1"/>
    <s v="5,6,7,8,9"/>
    <n v="23"/>
    <n v="18400"/>
    <n v="19900"/>
    <n v="423200"/>
  </r>
  <r>
    <x v="21"/>
    <s v="2025-NA-022"/>
    <s v="ITALIAN ANKLE BOOTS"/>
    <x v="2"/>
    <x v="1"/>
    <s v="5,6,7,8,9"/>
    <n v="21"/>
    <n v="18400"/>
    <n v="19900"/>
    <n v="386400"/>
  </r>
  <r>
    <x v="22"/>
    <s v="2025-NA-023"/>
    <s v="WOMEN LEATHER LACEUPS"/>
    <x v="2"/>
    <x v="1"/>
    <s v="5,6,7,8,9"/>
    <n v="20"/>
    <n v="17000"/>
    <n v="18500"/>
    <n v="340000"/>
  </r>
  <r>
    <x v="22"/>
    <s v="2025-NA-024"/>
    <s v="OXFORD SHOES"/>
    <x v="2"/>
    <x v="1"/>
    <s v="5,6,7,8,9"/>
    <n v="14"/>
    <n v="24400"/>
    <n v="25900"/>
    <n v="341600"/>
  </r>
  <r>
    <x v="23"/>
    <s v="2025-M-001"/>
    <s v="HERITAGE RIDGE"/>
    <x v="3"/>
    <x v="1"/>
    <s v="5,6,7,8,9"/>
    <n v="15"/>
    <n v="22000"/>
    <n v="24000"/>
    <n v="330000"/>
  </r>
  <r>
    <x v="24"/>
    <s v="2025-M-002"/>
    <s v="IRONCLAD COMBAT"/>
    <x v="3"/>
    <x v="1"/>
    <s v="5,6,7,8,9"/>
    <n v="20"/>
    <n v="26000"/>
    <n v="28000"/>
    <n v="520000"/>
  </r>
  <r>
    <x v="25"/>
    <s v="2025-M-003"/>
    <s v="SUMMIT TRAIL"/>
    <x v="3"/>
    <x v="1"/>
    <s v="5,6,7,8,9"/>
    <n v="22"/>
    <n v="28000"/>
    <n v="30000"/>
    <n v="616000"/>
  </r>
  <r>
    <x v="26"/>
    <s v="2025-M-004"/>
    <s v="ROYAL GRAIN"/>
    <x v="3"/>
    <x v="1"/>
    <s v="5,6,7,8,9"/>
    <n v="10"/>
    <n v="53000"/>
    <n v="55000"/>
    <n v="530000"/>
  </r>
  <r>
    <x v="27"/>
    <s v="2025-M-005"/>
    <s v="URBAN REBEL"/>
    <x v="3"/>
    <x v="1"/>
    <s v="5,6,7,8,9"/>
    <n v="13"/>
    <n v="31000"/>
    <n v="33000"/>
    <n v="403000"/>
  </r>
  <r>
    <x v="28"/>
    <s v="2025-M-006"/>
    <s v="NORDIC EDGE"/>
    <x v="3"/>
    <x v="1"/>
    <s v="5,6,7,8,9"/>
    <n v="17"/>
    <n v="25000"/>
    <n v="27000"/>
    <n v="425000"/>
  </r>
  <r>
    <x v="29"/>
    <s v="2025-M-007"/>
    <s v="BOOKSTONE CHUKKA"/>
    <x v="3"/>
    <x v="1"/>
    <s v="5,6,7,8,9"/>
    <n v="15"/>
    <n v="8000"/>
    <n v="10000"/>
    <n v="120000"/>
  </r>
  <r>
    <x v="30"/>
    <s v="2025-M-008"/>
    <s v="CHELSEA FORGE"/>
    <x v="3"/>
    <x v="1"/>
    <s v="5,6,7,8,9"/>
    <n v="15"/>
    <n v="4000"/>
    <n v="6000"/>
    <n v="60000"/>
  </r>
  <r>
    <x v="31"/>
    <s v="2025-M-009"/>
    <s v="BERLIN MADDOW"/>
    <x v="3"/>
    <x v="1"/>
    <s v="5,6,7,8,9"/>
    <n v="13"/>
    <n v="10000"/>
    <n v="12000"/>
    <n v="130000"/>
  </r>
  <r>
    <x v="32"/>
    <s v="2025-M-010"/>
    <s v="CHELSEAE"/>
    <x v="3"/>
    <x v="1"/>
    <s v="5,6,7,8,9"/>
    <n v="20"/>
    <n v="12000"/>
    <n v="14000"/>
    <n v="240000"/>
  </r>
  <r>
    <x v="33"/>
    <s v="2025-M-011"/>
    <s v="LACE PINE"/>
    <x v="3"/>
    <x v="1"/>
    <s v="5,6,7,8,9"/>
    <n v="22"/>
    <n v="9000"/>
    <n v="11000"/>
    <n v="198000"/>
  </r>
  <r>
    <x v="34"/>
    <s v="2025-M-012"/>
    <s v="MURA MADDOW"/>
    <x v="3"/>
    <x v="1"/>
    <s v="5,6,7,8,9"/>
    <n v="23"/>
    <n v="10000"/>
    <n v="12000"/>
    <n v="230000"/>
  </r>
  <r>
    <x v="35"/>
    <s v="2025-M-013"/>
    <s v="PEU DANE"/>
    <x v="3"/>
    <x v="1"/>
    <s v="5,6,7,8,9"/>
    <n v="21"/>
    <n v="13000"/>
    <n v="15000"/>
    <n v="273000"/>
  </r>
  <r>
    <x v="36"/>
    <s v="2025-M-014"/>
    <s v="CAIRO BROWN"/>
    <x v="3"/>
    <x v="1"/>
    <s v="5,6,7,8,9"/>
    <n v="10"/>
    <n v="15000"/>
    <n v="17000"/>
    <n v="150000"/>
  </r>
  <r>
    <x v="37"/>
    <s v="2025-M-015"/>
    <s v="THERAMPINE STROFF"/>
    <x v="3"/>
    <x v="1"/>
    <s v="5,6,7,8,9"/>
    <n v="10"/>
    <n v="8000"/>
    <n v="10000"/>
    <n v="80000"/>
  </r>
  <r>
    <x v="38"/>
    <s v="2025-M-016"/>
    <s v="OXFORDS"/>
    <x v="3"/>
    <x v="1"/>
    <s v="5,6,7,8,9"/>
    <n v="15"/>
    <n v="7000"/>
    <n v="9000"/>
    <n v="105000"/>
  </r>
  <r>
    <x v="39"/>
    <s v="2025-M-017"/>
    <s v="ALL ROUNDERS"/>
    <x v="3"/>
    <x v="1"/>
    <s v="5,6,7,8,9"/>
    <n v="15"/>
    <n v="18000"/>
    <n v="20000"/>
    <n v="270000"/>
  </r>
  <r>
    <x v="40"/>
    <s v="2025-M-018"/>
    <s v="SPRINTING SHOES"/>
    <x v="3"/>
    <x v="1"/>
    <s v="5,6,7,8,9"/>
    <n v="12"/>
    <n v="26000"/>
    <n v="28000"/>
    <n v="312000"/>
  </r>
  <r>
    <x v="41"/>
    <s v="2025-M-019"/>
    <s v="BOXING SHOES"/>
    <x v="3"/>
    <x v="1"/>
    <s v="5,6,7,8,9"/>
    <n v="10"/>
    <n v="20000"/>
    <n v="22000"/>
    <n v="200000"/>
  </r>
  <r>
    <x v="42"/>
    <s v="2025-M-020"/>
    <s v="BADMINTON SHOES"/>
    <x v="3"/>
    <x v="1"/>
    <s v="5,6,7,8,9"/>
    <n v="10"/>
    <n v="17000"/>
    <n v="19000"/>
    <n v="170000"/>
  </r>
  <r>
    <x v="43"/>
    <s v="2025-M-021"/>
    <s v="FOOTBALL SHOES"/>
    <x v="3"/>
    <x v="1"/>
    <s v="5,6,7,8,9"/>
    <n v="10"/>
    <n v="31000"/>
    <n v="33000"/>
    <n v="310000"/>
  </r>
  <r>
    <x v="44"/>
    <s v="2025-M-022"/>
    <s v="RUNNERS"/>
    <x v="3"/>
    <x v="1"/>
    <s v="5,6,7,8,9"/>
    <n v="25"/>
    <n v="15000"/>
    <n v="17000"/>
    <n v="375000"/>
  </r>
  <r>
    <x v="45"/>
    <s v="2025-M-023"/>
    <s v="CYCLER SHOES"/>
    <x v="3"/>
    <x v="1"/>
    <s v="5,6,7,8,9"/>
    <n v="18"/>
    <n v="13000"/>
    <n v="15000"/>
    <n v="234000"/>
  </r>
  <r>
    <x v="46"/>
    <s v="2025-M-024"/>
    <s v="CRICKET SHOES"/>
    <x v="3"/>
    <x v="1"/>
    <s v="5,6,7,8,9"/>
    <n v="20"/>
    <n v="18000"/>
    <n v="20000"/>
    <n v="360000"/>
  </r>
  <r>
    <x v="47"/>
    <s v="2025-M-025"/>
    <s v="AERO FLEX"/>
    <x v="3"/>
    <x v="1"/>
    <s v="5,6,7,8,9"/>
    <n v="15"/>
    <n v="22000"/>
    <n v="24000"/>
    <n v="330000"/>
  </r>
  <r>
    <x v="48"/>
    <s v="2025-M-026"/>
    <s v="URBAN STRIPE"/>
    <x v="3"/>
    <x v="1"/>
    <s v="5,6,7,8,9"/>
    <n v="18"/>
    <n v="26000"/>
    <n v="28000"/>
    <n v="468000"/>
  </r>
  <r>
    <x v="49"/>
    <s v="2025-M-027"/>
    <s v="STREET CLASSIC"/>
    <x v="3"/>
    <x v="1"/>
    <s v="5,6,7,8,9"/>
    <n v="12"/>
    <n v="28000"/>
    <n v="30000"/>
    <n v="336000"/>
  </r>
  <r>
    <x v="50"/>
    <s v="2025-M-028"/>
    <s v="NEO STREET"/>
    <x v="3"/>
    <x v="1"/>
    <s v="5,6,7,8,9"/>
    <n v="14"/>
    <n v="53000"/>
    <n v="55000"/>
    <n v="742000"/>
  </r>
  <r>
    <x v="51"/>
    <s v="2025-M-029"/>
    <s v="VELOCITY SPOT"/>
    <x v="3"/>
    <x v="1"/>
    <s v="5,6,7,8,9"/>
    <n v="20"/>
    <n v="31000"/>
    <n v="33000"/>
    <n v="620000"/>
  </r>
  <r>
    <x v="52"/>
    <s v="2025-M-030"/>
    <s v="HERITAGE LACE"/>
    <x v="3"/>
    <x v="1"/>
    <s v="5,6,7,8,9"/>
    <n v="22"/>
    <n v="25000"/>
    <n v="27000"/>
    <n v="550000"/>
  </r>
  <r>
    <x v="53"/>
    <s v="2025-M-031"/>
    <s v="CLOUD WALK"/>
    <x v="3"/>
    <x v="1"/>
    <s v="5,6,7,8,9"/>
    <n v="18"/>
    <n v="8000"/>
    <n v="10000"/>
    <n v="144000"/>
  </r>
  <r>
    <x v="54"/>
    <s v="2025-M-032"/>
    <s v="WHITE ASH"/>
    <x v="3"/>
    <x v="1"/>
    <s v="5,6,7,8,9"/>
    <n v="14"/>
    <n v="4000"/>
    <n v="6000"/>
    <n v="56000"/>
  </r>
  <r>
    <x v="55"/>
    <s v="2025-W-001"/>
    <s v="BLACK ELEGANCE"/>
    <x v="4"/>
    <x v="0"/>
    <s v="5,6,7,8"/>
    <n v="12"/>
    <n v="20000"/>
    <n v="22000"/>
    <n v="240000"/>
  </r>
  <r>
    <x v="56"/>
    <s v="2025-W-002"/>
    <s v="MOCHA BOWN"/>
    <x v="4"/>
    <x v="0"/>
    <s v="5,6,7,8"/>
    <n v="10"/>
    <n v="16000"/>
    <n v="18000"/>
    <n v="160000"/>
  </r>
  <r>
    <x v="57"/>
    <s v="2025-W-003"/>
    <s v="PEARL NUDE"/>
    <x v="4"/>
    <x v="0"/>
    <s v="5,6,7,8"/>
    <n v="15"/>
    <n v="13000"/>
    <n v="15000"/>
    <n v="195000"/>
  </r>
  <r>
    <x v="58"/>
    <s v="2025-W-004"/>
    <s v="PASTEL GREEN"/>
    <x v="4"/>
    <x v="0"/>
    <s v="5,6,7,8"/>
    <n v="12"/>
    <n v="19000"/>
    <n v="21000"/>
    <n v="228000"/>
  </r>
  <r>
    <x v="59"/>
    <s v="2025-W-005"/>
    <s v="NAVY ROYALE"/>
    <x v="4"/>
    <x v="0"/>
    <s v="5,6,7,8"/>
    <n v="10"/>
    <n v="22000"/>
    <n v="24000"/>
    <n v="220000"/>
  </r>
  <r>
    <x v="60"/>
    <s v="2025-W-006"/>
    <s v="AMBER GLOW"/>
    <x v="4"/>
    <x v="0"/>
    <s v="5,6,7,8"/>
    <n v="18"/>
    <n v="25000"/>
    <n v="27000"/>
    <n v="450000"/>
  </r>
  <r>
    <x v="61"/>
    <s v="2025-W-007"/>
    <s v="SEA MIST"/>
    <x v="4"/>
    <x v="0"/>
    <s v="5,6,7,8"/>
    <n v="12"/>
    <n v="17000"/>
    <n v="19000"/>
    <n v="204000"/>
  </r>
  <r>
    <x v="62"/>
    <s v="2025-W-008"/>
    <s v="DUSTY ROSE"/>
    <x v="4"/>
    <x v="0"/>
    <s v="5,6,7,8"/>
    <n v="20"/>
    <n v="14000"/>
    <n v="16000"/>
    <n v="280000"/>
  </r>
  <r>
    <x v="63"/>
    <s v="2025-W-009"/>
    <s v="WHITE PEARL HEEL"/>
    <x v="4"/>
    <x v="0"/>
    <s v="5,6,7,8"/>
    <n v="22"/>
    <n v="18000"/>
    <n v="20000"/>
    <n v="396000"/>
  </r>
  <r>
    <x v="64"/>
    <s v="2025-W-010"/>
    <s v="EMBELLISHED HEEL"/>
    <x v="4"/>
    <x v="0"/>
    <s v="5,6,7,8"/>
    <n v="23"/>
    <n v="14000"/>
    <n v="16000"/>
    <n v="322000"/>
  </r>
  <r>
    <x v="65"/>
    <s v="2025-W-011"/>
    <s v="SOFT SMOKY HEEL"/>
    <x v="4"/>
    <x v="0"/>
    <s v="5,6,7,8"/>
    <n v="21"/>
    <n v="12500"/>
    <n v="14500"/>
    <n v="262500"/>
  </r>
  <r>
    <x v="66"/>
    <s v="2025-W-012"/>
    <s v="BEIGE TONE HEEL"/>
    <x v="4"/>
    <x v="0"/>
    <s v="5,6,7,8"/>
    <n v="20"/>
    <n v="11999"/>
    <n v="13999"/>
    <n v="239980"/>
  </r>
  <r>
    <x v="67"/>
    <s v="2025-W-013"/>
    <s v="GOLD HEEL"/>
    <x v="4"/>
    <x v="0"/>
    <s v="5,6,7,8"/>
    <n v="14"/>
    <n v="21000"/>
    <n v="23000"/>
    <n v="294000"/>
  </r>
  <r>
    <x v="68"/>
    <s v="2025-W-014"/>
    <s v="LUXURY LONG HEEL"/>
    <x v="4"/>
    <x v="0"/>
    <s v="5,6,7,8"/>
    <n v="25"/>
    <n v="16500"/>
    <n v="18500"/>
    <n v="412500"/>
  </r>
  <r>
    <x v="69"/>
    <s v="2025-W-015"/>
    <s v="TRANSPARENT HEEL"/>
    <x v="4"/>
    <x v="0"/>
    <s v="5,6,7,8"/>
    <n v="18"/>
    <n v="23000"/>
    <n v="25000"/>
    <n v="414000"/>
  </r>
  <r>
    <x v="70"/>
    <s v="2025-W-016"/>
    <s v="BRIGHT PINK HEEL"/>
    <x v="4"/>
    <x v="0"/>
    <s v="5,6,7,8"/>
    <n v="20"/>
    <n v="17000"/>
    <n v="19000"/>
    <n v="340000"/>
  </r>
  <r>
    <x v="71"/>
    <s v="2025-W-017"/>
    <s v="PEARL WALK SHOES"/>
    <x v="4"/>
    <x v="0"/>
    <s v="5,6,7,8"/>
    <n v="15"/>
    <n v="18000"/>
    <n v="20000"/>
    <n v="270000"/>
  </r>
  <r>
    <x v="72"/>
    <s v="2025-W-018"/>
    <s v="CLEAN SLATE SHOES"/>
    <x v="4"/>
    <x v="0"/>
    <s v="5,6,7,8"/>
    <n v="18"/>
    <n v="14000"/>
    <n v="16000"/>
    <n v="252000"/>
  </r>
  <r>
    <x v="73"/>
    <s v="2025-W-019"/>
    <s v="PINK CASUAL WOMEN"/>
    <x v="4"/>
    <x v="0"/>
    <s v="5,6,7,8"/>
    <n v="12"/>
    <n v="12500"/>
    <n v="14500"/>
    <n v="150000"/>
  </r>
  <r>
    <x v="74"/>
    <s v="2025-W-020"/>
    <s v="COCA DRIFT SHOES"/>
    <x v="4"/>
    <x v="0"/>
    <s v="5,6,7,8"/>
    <n v="14"/>
    <n v="11999"/>
    <n v="13999"/>
    <n v="167986"/>
  </r>
  <r>
    <x v="75"/>
    <s v="2025-W-021"/>
    <s v="SOFT SAKURA SHOES"/>
    <x v="4"/>
    <x v="0"/>
    <s v="5,6,7,8"/>
    <n v="20"/>
    <n v="21000"/>
    <n v="23000"/>
    <n v="420000"/>
  </r>
  <r>
    <x v="76"/>
    <s v="2025-W-022"/>
    <s v="WHITE NOVA SHOES"/>
    <x v="4"/>
    <x v="0"/>
    <s v="5,6,7,8"/>
    <n v="22"/>
    <n v="16500"/>
    <n v="18500"/>
    <n v="363000"/>
  </r>
  <r>
    <x v="77"/>
    <s v="2025-W-023"/>
    <s v="SHADOW WALK SHOES"/>
    <x v="4"/>
    <x v="0"/>
    <s v="5,6,7,8"/>
    <n v="18"/>
    <n v="23000"/>
    <n v="25000"/>
    <n v="414000"/>
  </r>
  <r>
    <x v="78"/>
    <s v="2025-W-024"/>
    <s v="SOFT OLIVE SHOES"/>
    <x v="4"/>
    <x v="0"/>
    <s v="5,6,7,8"/>
    <n v="14"/>
    <n v="17000"/>
    <n v="19000"/>
    <n v="238000"/>
  </r>
  <r>
    <x v="79"/>
    <s v="2025-W-025"/>
    <s v="WHITE GOLD"/>
    <x v="4"/>
    <x v="0"/>
    <s v="5,6,7,8"/>
    <n v="12"/>
    <n v="2700"/>
    <n v="3000"/>
    <n v="32400"/>
  </r>
  <r>
    <x v="80"/>
    <s v="2025-W-026"/>
    <s v="PEACH PINK"/>
    <x v="4"/>
    <x v="0"/>
    <s v="5,6,7,8"/>
    <n v="10"/>
    <n v="4700"/>
    <n v="5000"/>
    <n v="47000"/>
  </r>
  <r>
    <x v="81"/>
    <s v="2025-W-027"/>
    <s v="PINK GLOW"/>
    <x v="4"/>
    <x v="0"/>
    <s v="5,6,7,8"/>
    <n v="15"/>
    <n v="3700"/>
    <n v="4000"/>
    <n v="55500"/>
  </r>
  <r>
    <x v="82"/>
    <s v="2025-W-028"/>
    <s v="GOLDEN SHINE"/>
    <x v="4"/>
    <x v="0"/>
    <s v="5,6,7,8"/>
    <n v="12"/>
    <n v="5700"/>
    <n v="6000"/>
    <n v="68400"/>
  </r>
  <r>
    <x v="83"/>
    <s v="2025-W-029"/>
    <s v="CLASSIC BLUE"/>
    <x v="4"/>
    <x v="0"/>
    <s v="5,6,7,8"/>
    <n v="10"/>
    <n v="5700"/>
    <n v="6000"/>
    <n v="57000"/>
  </r>
  <r>
    <x v="84"/>
    <s v="2025-W-030"/>
    <s v="MINT GREEN"/>
    <x v="4"/>
    <x v="0"/>
    <s v="5,6,7,8"/>
    <n v="18"/>
    <n v="5700"/>
    <n v="6000"/>
    <n v="102600"/>
  </r>
  <r>
    <x v="85"/>
    <s v="2025-W-031"/>
    <s v="LEMON YELLOW"/>
    <x v="4"/>
    <x v="0"/>
    <s v="5,6,7,8"/>
    <n v="12"/>
    <n v="6700"/>
    <n v="7000"/>
    <n v="80400"/>
  </r>
  <r>
    <x v="86"/>
    <s v="2025-W-032"/>
    <s v="CLASSIC WHITE"/>
    <x v="4"/>
    <x v="0"/>
    <s v="5,6,7,8"/>
    <n v="20"/>
    <n v="5700"/>
    <n v="6000"/>
    <n v="114000"/>
  </r>
  <r>
    <x v="87"/>
    <s v="2025-K-001"/>
    <s v="CLASSIC BLACK"/>
    <x v="5"/>
    <x v="2"/>
    <s v="3,4,5,6,7,8"/>
    <n v="22"/>
    <n v="6000"/>
    <n v="6500"/>
    <n v="132000"/>
  </r>
  <r>
    <x v="88"/>
    <s v="2025-K-002"/>
    <s v="OXFPRD JUNIOR"/>
    <x v="5"/>
    <x v="2"/>
    <s v="3,4,5,6,7,8"/>
    <n v="23"/>
    <n v="6700"/>
    <n v="7200"/>
    <n v="154100"/>
  </r>
  <r>
    <x v="89"/>
    <s v="2025-K-003"/>
    <s v="DAILY COMFORT"/>
    <x v="5"/>
    <x v="2"/>
    <s v="3,4,5,6,7,8"/>
    <n v="21"/>
    <n v="5400"/>
    <n v="5900"/>
    <n v="113400"/>
  </r>
  <r>
    <x v="90"/>
    <s v="2025-K-004"/>
    <s v="STRIDE PRO"/>
    <x v="5"/>
    <x v="2"/>
    <s v="3,4,5,6,7,8"/>
    <n v="20"/>
    <n v="6300"/>
    <n v="6800"/>
    <n v="126000"/>
  </r>
  <r>
    <x v="91"/>
    <s v="2025-K-005"/>
    <s v="ELITE JUNIOR"/>
    <x v="5"/>
    <x v="2"/>
    <s v="3,4,5,6,7,8"/>
    <n v="14"/>
    <n v="7300"/>
    <n v="7800"/>
    <n v="102200"/>
  </r>
  <r>
    <x v="92"/>
    <s v="2025-K-006"/>
    <s v="MARY JANE"/>
    <x v="5"/>
    <x v="2"/>
    <s v="3,4,5,6,7,8"/>
    <n v="25"/>
    <n v="4700"/>
    <n v="5200"/>
    <n v="117500"/>
  </r>
  <r>
    <x v="93"/>
    <s v="2025-K-007"/>
    <s v="PREMIUM VELCRO"/>
    <x v="5"/>
    <x v="2"/>
    <s v="3,4,5,6,7,8"/>
    <n v="18"/>
    <n v="6500"/>
    <n v="7000"/>
    <n v="117000"/>
  </r>
  <r>
    <x v="94"/>
    <s v="2025-K-008"/>
    <s v="HIGH GRIP"/>
    <x v="5"/>
    <x v="2"/>
    <s v="3,4,5,6,7,8"/>
    <n v="20"/>
    <n v="6000"/>
    <n v="6500"/>
    <n v="120000"/>
  </r>
  <r>
    <x v="95"/>
    <s v="2025-K-009"/>
    <s v="SPEED SPRINT"/>
    <x v="5"/>
    <x v="2"/>
    <s v="3,4,5,6"/>
    <n v="15"/>
    <n v="7000"/>
    <n v="7500"/>
    <n v="105000"/>
  </r>
  <r>
    <x v="96"/>
    <s v="2025-K-010"/>
    <s v="URBAN DASH"/>
    <x v="5"/>
    <x v="2"/>
    <s v="3,4,5,6"/>
    <n v="18"/>
    <n v="7700"/>
    <n v="8200"/>
    <n v="138600"/>
  </r>
  <r>
    <x v="97"/>
    <s v="2025-K-011"/>
    <s v="FLEX RUNNER"/>
    <x v="5"/>
    <x v="2"/>
    <s v="3,4,5,6"/>
    <n v="12"/>
    <n v="6400"/>
    <n v="6900"/>
    <n v="76800"/>
  </r>
  <r>
    <x v="98"/>
    <s v="2025-K-012"/>
    <s v="FLUFFY TOES"/>
    <x v="5"/>
    <x v="2"/>
    <s v="3,4,5,6"/>
    <n v="14"/>
    <n v="7300"/>
    <n v="7800"/>
    <n v="102200"/>
  </r>
  <r>
    <x v="99"/>
    <s v="2025-K-013"/>
    <s v="PULSE MOTION"/>
    <x v="5"/>
    <x v="2"/>
    <s v="3,4,5,6"/>
    <n v="20"/>
    <n v="8400"/>
    <n v="8900"/>
    <n v="168000"/>
  </r>
  <r>
    <x v="100"/>
    <s v="2025-K-014"/>
    <s v="DAILY ACTIVE"/>
    <x v="5"/>
    <x v="2"/>
    <s v="3,4,5,6"/>
    <n v="22"/>
    <n v="5800"/>
    <n v="6300"/>
    <n v="127600"/>
  </r>
  <r>
    <x v="101"/>
    <s v="2025-K-015"/>
    <s v="BABY"/>
    <x v="5"/>
    <x v="2"/>
    <s v="2,3,4"/>
    <n v="18"/>
    <n v="6500"/>
    <n v="7000"/>
    <n v="117000"/>
  </r>
  <r>
    <x v="102"/>
    <s v="2025-K-016"/>
    <s v="HIGH GRIP"/>
    <x v="5"/>
    <x v="2"/>
    <s v="3,4,5"/>
    <n v="14"/>
    <n v="6000"/>
    <n v="6500"/>
    <n v="84000"/>
  </r>
  <r>
    <x v="103"/>
    <s v="2025-K-017"/>
    <s v="PINKY POP"/>
    <x v="5"/>
    <x v="2"/>
    <s v="3,4,5,6"/>
    <n v="12"/>
    <n v="2700"/>
    <n v="3200"/>
    <n v="32400"/>
  </r>
  <r>
    <x v="104"/>
    <s v="2025-K-018"/>
    <s v="AQUA FLEX"/>
    <x v="5"/>
    <x v="2"/>
    <s v="3,4,5,6"/>
    <n v="10"/>
    <n v="3300"/>
    <n v="3800"/>
    <n v="33000"/>
  </r>
  <r>
    <x v="105"/>
    <s v="2025-K-019"/>
    <s v="PLAYTIME BLUE"/>
    <x v="5"/>
    <x v="2"/>
    <s v="3,4,5,6"/>
    <n v="15"/>
    <n v="3000"/>
    <n v="3500"/>
    <n v="45000"/>
  </r>
  <r>
    <x v="106"/>
    <s v="2025-K-020"/>
    <s v="MINI EXPLORER"/>
    <x v="5"/>
    <x v="2"/>
    <s v="3,4,5,6"/>
    <n v="12"/>
    <n v="3400"/>
    <n v="3900"/>
    <n v="40800"/>
  </r>
  <r>
    <x v="107"/>
    <s v="2025-K-021"/>
    <s v="BEAR BUDDIES"/>
    <x v="5"/>
    <x v="2"/>
    <s v="3,4,5,6"/>
    <n v="10"/>
    <n v="3700"/>
    <n v="4200"/>
    <n v="37000"/>
  </r>
  <r>
    <x v="108"/>
    <s v="2025-K-022"/>
    <s v="TURBO RED"/>
    <x v="5"/>
    <x v="2"/>
    <s v="3,4,5,6"/>
    <n v="18"/>
    <n v="2400"/>
    <n v="2900"/>
    <n v="43200"/>
  </r>
  <r>
    <x v="109"/>
    <s v="2025-K-023"/>
    <s v="MINI MINION"/>
    <x v="5"/>
    <x v="2"/>
    <s v="3,4,5,6"/>
    <n v="12"/>
    <n v="6500"/>
    <n v="7000"/>
    <n v="78000"/>
  </r>
  <r>
    <x v="110"/>
    <s v="2025-K-024"/>
    <s v="LIGHTNING STEPS"/>
    <x v="5"/>
    <x v="2"/>
    <s v="3,4,5,6"/>
    <n v="20"/>
    <n v="6000"/>
    <n v="6500"/>
    <n v="120000"/>
  </r>
  <r>
    <x v="111"/>
    <s v="2025-WC-001"/>
    <s v="SILVER TRANSPARENT"/>
    <x v="6"/>
    <x v="0"/>
    <s v="5,6,7,8"/>
    <n v="22"/>
    <n v="22000"/>
    <n v="24000"/>
    <n v="484000"/>
  </r>
  <r>
    <x v="112"/>
    <s v="2025-WC-002"/>
    <s v="EMBELLISHED HEEL"/>
    <x v="6"/>
    <x v="0"/>
    <s v="5,6,7,8"/>
    <n v="23"/>
    <n v="26000"/>
    <n v="28000"/>
    <n v="598000"/>
  </r>
  <r>
    <x v="113"/>
    <s v="2025-WC-003"/>
    <s v="RED BRIDAL HEELS"/>
    <x v="6"/>
    <x v="0"/>
    <s v="5,6,7,8"/>
    <n v="21"/>
    <n v="28000"/>
    <n v="30000"/>
    <n v="588000"/>
  </r>
  <r>
    <x v="114"/>
    <s v="2025-WC-004"/>
    <s v="IVORY GLITTER HEELS"/>
    <x v="6"/>
    <x v="0"/>
    <s v="5,6,7,8"/>
    <n v="20"/>
    <n v="24000"/>
    <n v="26000"/>
    <n v="480000"/>
  </r>
  <r>
    <x v="115"/>
    <s v="2025-WC-005"/>
    <s v="GOLDEN HEELS"/>
    <x v="6"/>
    <x v="0"/>
    <s v="5,6,7,8"/>
    <n v="14"/>
    <n v="17000"/>
    <n v="19000"/>
    <n v="238000"/>
  </r>
  <r>
    <x v="116"/>
    <s v="2025-WC-006"/>
    <s v="PINK GLITTER HEELS"/>
    <x v="6"/>
    <x v="0"/>
    <s v="5,6,7,8"/>
    <n v="18"/>
    <n v="12000"/>
    <n v="14000"/>
    <n v="216000"/>
  </r>
  <r>
    <x v="117"/>
    <s v="2025-WC-007"/>
    <s v="MAROON KHUSSA HEEL"/>
    <x v="6"/>
    <x v="0"/>
    <s v="5,6,7,8"/>
    <n v="14"/>
    <n v="13000"/>
    <n v="15000"/>
    <n v="182000"/>
  </r>
  <r>
    <x v="118"/>
    <s v="2025-WC-008"/>
    <s v="GOLDEN FLAT HEEL"/>
    <x v="6"/>
    <x v="0"/>
    <s v="5,6,7,8"/>
    <n v="12"/>
    <n v="14000"/>
    <n v="16000"/>
    <n v="168000"/>
  </r>
  <r>
    <x v="119"/>
    <s v="2025-WC-009"/>
    <s v="MIDNIGHT CREST"/>
    <x v="6"/>
    <x v="1"/>
    <s v="6,7,8,9"/>
    <n v="10"/>
    <n v="22000"/>
    <n v="24000"/>
    <n v="220000"/>
  </r>
  <r>
    <x v="120"/>
    <s v="2025-WC-010"/>
    <s v="CHESTNUT EMBLEM"/>
    <x v="6"/>
    <x v="1"/>
    <s v="6,7,8,9"/>
    <n v="15"/>
    <n v="26000"/>
    <n v="28000"/>
    <n v="390000"/>
  </r>
  <r>
    <x v="121"/>
    <s v="2025-WC-011"/>
    <s v="EMERALD SPECIAL"/>
    <x v="6"/>
    <x v="1"/>
    <s v="6,7,8,9"/>
    <n v="12"/>
    <n v="28000"/>
    <n v="30000"/>
    <n v="336000"/>
  </r>
  <r>
    <x v="122"/>
    <s v="2025-WC-012"/>
    <s v="IVORY SHIMMER"/>
    <x v="6"/>
    <x v="1"/>
    <s v="6,7,8,9"/>
    <n v="10"/>
    <n v="20000"/>
    <n v="22000"/>
    <n v="200000"/>
  </r>
  <r>
    <x v="123"/>
    <s v="2025-WC-013"/>
    <s v="PEARL WHITE"/>
    <x v="6"/>
    <x v="1"/>
    <s v="6,7,8,9"/>
    <n v="18"/>
    <n v="15000"/>
    <n v="17000"/>
    <n v="270000"/>
  </r>
  <r>
    <x v="124"/>
    <s v="2025-WC-014"/>
    <s v="BLUSH TASSEL"/>
    <x v="6"/>
    <x v="1"/>
    <s v="6,7,8,9"/>
    <n v="12"/>
    <n v="20000"/>
    <n v="22000"/>
    <n v="240000"/>
  </r>
  <r>
    <x v="125"/>
    <s v="2025-WC-015"/>
    <s v="MAROON REGENT"/>
    <x v="6"/>
    <x v="1"/>
    <s v="6,7,8,9"/>
    <n v="20"/>
    <n v="17000"/>
    <n v="19000"/>
    <n v="340000"/>
  </r>
  <r>
    <x v="126"/>
    <s v="2025-WC-016"/>
    <s v="BLACK GOLD"/>
    <x v="6"/>
    <x v="1"/>
    <s v="6,7,8,9"/>
    <n v="22"/>
    <n v="18000"/>
    <n v="20000"/>
    <n v="396000"/>
  </r>
  <r>
    <x v="127"/>
    <s v="2025-AS-001"/>
    <s v="BLACK LEATHER POLISH"/>
    <x v="7"/>
    <x v="3"/>
    <m/>
    <n v="23"/>
    <n v="1600"/>
    <n v="2000"/>
    <n v="36800"/>
  </r>
  <r>
    <x v="128"/>
    <s v="2025-AS-002"/>
    <s v="LIQUID BLACK SHINER"/>
    <x v="7"/>
    <x v="3"/>
    <m/>
    <n v="21"/>
    <n v="2600"/>
    <n v="3000"/>
    <n v="54600"/>
  </r>
  <r>
    <x v="129"/>
    <s v="2025-AS-003"/>
    <s v="LIQUID BLACK POLISH"/>
    <x v="7"/>
    <x v="3"/>
    <m/>
    <n v="20"/>
    <n v="4100"/>
    <n v="4500"/>
    <n v="82000"/>
  </r>
  <r>
    <x v="130"/>
    <s v="2025-AS-004"/>
    <s v="LIQUID WHITE POLISH"/>
    <x v="7"/>
    <x v="3"/>
    <m/>
    <n v="14"/>
    <n v="4100"/>
    <n v="4500"/>
    <n v="57400"/>
  </r>
  <r>
    <x v="131"/>
    <s v="2025-AS-005"/>
    <s v="INSTANT LEATHER HYDRATOR"/>
    <x v="7"/>
    <x v="3"/>
    <m/>
    <m/>
    <n v="6200"/>
    <n v="6600"/>
    <n v="0"/>
  </r>
  <r>
    <x v="132"/>
    <s v="2025-AS-006"/>
    <s v="LIQUID BROWN POLISH"/>
    <x v="7"/>
    <x v="3"/>
    <m/>
    <n v="12"/>
    <n v="1600"/>
    <n v="2000"/>
    <n v="19200"/>
  </r>
  <r>
    <x v="133"/>
    <s v="2025-AS-007"/>
    <s v="WHITE SHOE POLISH"/>
    <x v="7"/>
    <x v="3"/>
    <m/>
    <n v="20"/>
    <n v="7600"/>
    <n v="8000"/>
    <n v="152000"/>
  </r>
  <r>
    <x v="134"/>
    <s v="2025-AS-008"/>
    <s v="BLACK SPRAY POLISH"/>
    <x v="7"/>
    <x v="3"/>
    <m/>
    <n v="22"/>
    <n v="4600"/>
    <n v="5000"/>
    <n v="101200"/>
  </r>
  <r>
    <x v="135"/>
    <s v="2025-AS-009"/>
    <s v="WHITE SPRAY POLISH"/>
    <x v="7"/>
    <x v="3"/>
    <m/>
    <n v="23"/>
    <n v="5600"/>
    <n v="6000"/>
    <n v="128800"/>
  </r>
  <r>
    <x v="136"/>
    <s v="2025-AS-010"/>
    <s v="BLACK SHOE HYDRATOR"/>
    <x v="7"/>
    <x v="3"/>
    <m/>
    <n v="21"/>
    <n v="10600"/>
    <n v="11000"/>
    <n v="222600"/>
  </r>
  <r>
    <x v="137"/>
    <s v="2025-AS-011"/>
    <s v="INSTANT BLACK POLISH"/>
    <x v="7"/>
    <x v="3"/>
    <m/>
    <n v="20"/>
    <n v="4600"/>
    <n v="5000"/>
    <n v="92000"/>
  </r>
  <r>
    <x v="138"/>
    <s v="2025-AS-012"/>
    <s v="BROWN  SHOE POLISH"/>
    <x v="7"/>
    <x v="3"/>
    <m/>
    <n v="14"/>
    <n v="1600"/>
    <n v="2000"/>
    <n v="22400"/>
  </r>
  <r>
    <x v="139"/>
    <s v="2025-AS-013"/>
    <s v="GREY WOOLEN SOCKS"/>
    <x v="7"/>
    <x v="3"/>
    <m/>
    <n v="18"/>
    <n v="499"/>
    <n v="899"/>
    <n v="8982"/>
  </r>
  <r>
    <x v="140"/>
    <s v="2025-AS-014"/>
    <s v="BLACK KNEE-HIGHS"/>
    <x v="7"/>
    <x v="3"/>
    <m/>
    <n v="14"/>
    <n v="399"/>
    <n v="799"/>
    <n v="5586"/>
  </r>
  <r>
    <x v="141"/>
    <s v="2025-AS-015"/>
    <s v="SANTA RED SOCKS"/>
    <x v="7"/>
    <x v="3"/>
    <m/>
    <n v="12"/>
    <n v="399"/>
    <n v="799"/>
    <n v="4788"/>
  </r>
  <r>
    <x v="142"/>
    <s v="2025-AS-016"/>
    <s v="WHITE KNEE-HIGHS"/>
    <x v="7"/>
    <x v="3"/>
    <m/>
    <n v="10"/>
    <n v="499"/>
    <n v="899"/>
    <n v="4990"/>
  </r>
  <r>
    <x v="143"/>
    <s v="2025-AS-017"/>
    <s v="CLOWN STRIPLES SOCKS"/>
    <x v="7"/>
    <x v="3"/>
    <m/>
    <n v="15"/>
    <n v="399"/>
    <n v="799"/>
    <n v="5985"/>
  </r>
  <r>
    <x v="144"/>
    <s v="2025-AS-018"/>
    <s v="GREY KNEE-HIGHS"/>
    <x v="7"/>
    <x v="3"/>
    <m/>
    <n v="12"/>
    <n v="499"/>
    <n v="899"/>
    <n v="5988"/>
  </r>
  <r>
    <x v="145"/>
    <s v="2025-AS-019"/>
    <s v="BLACK LINER SOCKS"/>
    <x v="7"/>
    <x v="3"/>
    <m/>
    <n v="10"/>
    <n v="399"/>
    <n v="799"/>
    <n v="3990"/>
  </r>
  <r>
    <x v="146"/>
    <s v="2025-AS-020"/>
    <s v="NAVY GREY KNEE-HIGHS"/>
    <x v="7"/>
    <x v="3"/>
    <m/>
    <n v="18"/>
    <n v="400"/>
    <n v="800"/>
    <n v="7200"/>
  </r>
  <r>
    <x v="147"/>
    <s v="2025-AS-021"/>
    <s v="STRIPER BLACK SOCKS"/>
    <x v="7"/>
    <x v="3"/>
    <m/>
    <n v="12"/>
    <n v="399"/>
    <n v="799"/>
    <n v="4788"/>
  </r>
  <r>
    <x v="148"/>
    <s v="2025-AS-022"/>
    <s v="SHEEP GREY SOCKS"/>
    <x v="7"/>
    <x v="3"/>
    <m/>
    <n v="20"/>
    <n v="400"/>
    <n v="800"/>
    <n v="8000"/>
  </r>
  <r>
    <x v="149"/>
    <s v="2025-AS-023"/>
    <s v="JOKER BLUE KNEE-HIGHS"/>
    <x v="7"/>
    <x v="3"/>
    <m/>
    <n v="22"/>
    <n v="1600"/>
    <n v="2000"/>
    <n v="35200"/>
  </r>
  <r>
    <x v="150"/>
    <s v="2025-AS-024"/>
    <s v="NEUTRAL SHINER EXCLUSIVE"/>
    <x v="7"/>
    <x v="3"/>
    <m/>
    <n v="23"/>
    <n v="400"/>
    <n v="600"/>
    <n v="9200"/>
  </r>
  <r>
    <x v="151"/>
    <s v="2025-AS-025"/>
    <s v="RETRO SHOE SHINER"/>
    <x v="7"/>
    <x v="3"/>
    <m/>
    <n v="21"/>
    <n v="600"/>
    <n v="800"/>
    <n v="12600"/>
  </r>
  <r>
    <x v="152"/>
    <s v="2025-AS-026"/>
    <s v="FIGADO EXCLUSIVE"/>
    <x v="7"/>
    <x v="3"/>
    <m/>
    <n v="20"/>
    <n v="1000"/>
    <n v="1200"/>
    <n v="20000"/>
  </r>
  <r>
    <x v="153"/>
    <s v="2025-AS-027"/>
    <s v="YOMOLOCCO SHINER"/>
    <x v="7"/>
    <x v="3"/>
    <m/>
    <n v="14"/>
    <n v="100"/>
    <n v="300"/>
    <n v="1400"/>
  </r>
  <r>
    <x v="154"/>
    <s v="2025-AS-028"/>
    <s v="WHITE SHOE SHINER"/>
    <x v="7"/>
    <x v="3"/>
    <m/>
    <n v="23"/>
    <n v="400"/>
    <n v="600"/>
    <n v="9200"/>
  </r>
  <r>
    <x v="155"/>
    <s v="2025-AS-029"/>
    <s v="BLACK DECKER SHINER KIT"/>
    <x v="7"/>
    <x v="3"/>
    <m/>
    <n v="21"/>
    <n v="1100"/>
    <n v="1300"/>
    <n v="23100"/>
  </r>
  <r>
    <x v="156"/>
    <s v="2025-AS-030"/>
    <s v="CONIC SHOE SHINER"/>
    <x v="7"/>
    <x v="3"/>
    <m/>
    <n v="20"/>
    <n v="700"/>
    <n v="900"/>
    <n v="1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FA9AF-371C-4E52-8917-50D2220AC808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67:F176" firstHeaderRow="1" firstDataRow="1" firstDataCol="1"/>
  <pivotFields count="10">
    <pivotField axis="axisRow" showAll="0">
      <items count="1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showAll="0"/>
    <pivotField showAll="0"/>
    <pivotField axis="axisRow" showAll="0">
      <items count="10">
        <item h="1" f="1" x="8"/>
        <item sd="0" x="7"/>
        <item sd="0" x="5"/>
        <item sd="0" x="0"/>
        <item sd="0" x="3"/>
        <item sd="0" x="2"/>
        <item sd="0" x="6"/>
        <item sd="0" x="1"/>
        <item sd="0" x="4"/>
        <item t="default" sd="0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3"/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TOCK" fld="6" baseField="0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1"/>
  <sheetViews>
    <sheetView zoomScale="58" zoomScaleNormal="100" workbookViewId="0">
      <selection activeCell="G142" sqref="G142:H171"/>
    </sheetView>
  </sheetViews>
  <sheetFormatPr defaultRowHeight="25.15" customHeight="1" x14ac:dyDescent="0.25"/>
  <cols>
    <col min="1" max="1" width="27" customWidth="1"/>
    <col min="2" max="2" width="10.5703125" customWidth="1"/>
    <col min="3" max="3" width="28.28515625" customWidth="1"/>
    <col min="4" max="4" width="33.140625" customWidth="1"/>
    <col min="5" max="5" width="18.28515625" customWidth="1"/>
    <col min="6" max="6" width="26.28515625" customWidth="1"/>
    <col min="7" max="7" width="32.140625" customWidth="1"/>
    <col min="8" max="8" width="29.140625" customWidth="1"/>
  </cols>
  <sheetData>
    <row r="1" spans="1:23" ht="30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30" customHeight="1" x14ac:dyDescent="0.25">
      <c r="A2" s="17" t="s">
        <v>2</v>
      </c>
      <c r="B2" s="17"/>
      <c r="C2" s="17"/>
      <c r="D2" s="17"/>
      <c r="E2" s="17"/>
      <c r="F2" s="17"/>
      <c r="G2" s="17"/>
      <c r="H2" s="1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0" customHeight="1" x14ac:dyDescent="0.25">
      <c r="A3" s="1" t="s">
        <v>3</v>
      </c>
      <c r="B3" s="1" t="s">
        <v>5</v>
      </c>
      <c r="C3" s="1" t="s">
        <v>6</v>
      </c>
      <c r="D3" s="1" t="s">
        <v>8</v>
      </c>
      <c r="E3" s="1" t="s">
        <v>9</v>
      </c>
      <c r="F3" s="1" t="s">
        <v>7</v>
      </c>
      <c r="G3" s="1" t="s">
        <v>10</v>
      </c>
      <c r="H3" s="1" t="s">
        <v>11</v>
      </c>
    </row>
    <row r="4" spans="1:23" ht="30" customHeight="1" x14ac:dyDescent="0.25">
      <c r="A4" s="25" t="s">
        <v>4</v>
      </c>
      <c r="B4" s="4">
        <v>1</v>
      </c>
      <c r="C4" s="3" t="s">
        <v>42</v>
      </c>
      <c r="D4" s="5" t="s">
        <v>12</v>
      </c>
      <c r="E4" s="5" t="s">
        <v>21</v>
      </c>
      <c r="F4" s="5" t="s">
        <v>23</v>
      </c>
      <c r="G4" s="6">
        <f>H4-1500</f>
        <v>8500</v>
      </c>
      <c r="H4" s="6">
        <v>10000</v>
      </c>
    </row>
    <row r="5" spans="1:23" ht="30" customHeight="1" x14ac:dyDescent="0.25">
      <c r="A5" s="25"/>
      <c r="B5" s="4">
        <v>2</v>
      </c>
      <c r="C5" s="3" t="s">
        <v>43</v>
      </c>
      <c r="D5" s="5" t="s">
        <v>13</v>
      </c>
      <c r="E5" s="5" t="s">
        <v>20</v>
      </c>
      <c r="F5" s="5" t="s">
        <v>22</v>
      </c>
      <c r="G5" s="6">
        <f t="shared" ref="G5:G27" si="0">H5-1500</f>
        <v>18000</v>
      </c>
      <c r="H5" s="6">
        <v>19500</v>
      </c>
    </row>
    <row r="6" spans="1:23" ht="30" customHeight="1" x14ac:dyDescent="0.25">
      <c r="A6" s="25"/>
      <c r="B6" s="4">
        <v>3</v>
      </c>
      <c r="C6" s="3" t="s">
        <v>44</v>
      </c>
      <c r="D6" s="5" t="s">
        <v>14</v>
      </c>
      <c r="E6" s="5" t="s">
        <v>20</v>
      </c>
      <c r="F6" s="5" t="s">
        <v>22</v>
      </c>
      <c r="G6" s="6">
        <f t="shared" si="0"/>
        <v>14700</v>
      </c>
      <c r="H6" s="6">
        <v>16200</v>
      </c>
    </row>
    <row r="7" spans="1:23" ht="30" customHeight="1" x14ac:dyDescent="0.25">
      <c r="A7" s="25"/>
      <c r="B7" s="4">
        <v>4</v>
      </c>
      <c r="C7" s="3" t="s">
        <v>45</v>
      </c>
      <c r="D7" s="5" t="s">
        <v>15</v>
      </c>
      <c r="E7" s="5" t="s">
        <v>20</v>
      </c>
      <c r="F7" s="5" t="s">
        <v>22</v>
      </c>
      <c r="G7" s="6">
        <f t="shared" si="0"/>
        <v>13000</v>
      </c>
      <c r="H7" s="6">
        <v>14500</v>
      </c>
    </row>
    <row r="8" spans="1:23" ht="30" customHeight="1" x14ac:dyDescent="0.25">
      <c r="A8" s="25"/>
      <c r="B8" s="4">
        <v>5</v>
      </c>
      <c r="C8" s="3" t="s">
        <v>46</v>
      </c>
      <c r="D8" s="5" t="s">
        <v>16</v>
      </c>
      <c r="E8" s="5" t="s">
        <v>20</v>
      </c>
      <c r="F8" s="5" t="s">
        <v>22</v>
      </c>
      <c r="G8" s="6">
        <f t="shared" si="0"/>
        <v>16400</v>
      </c>
      <c r="H8" s="6">
        <v>17900</v>
      </c>
    </row>
    <row r="9" spans="1:23" ht="30" customHeight="1" x14ac:dyDescent="0.25">
      <c r="A9" s="25"/>
      <c r="B9" s="4">
        <v>6</v>
      </c>
      <c r="C9" s="3" t="s">
        <v>47</v>
      </c>
      <c r="D9" s="5" t="s">
        <v>18</v>
      </c>
      <c r="E9" s="5" t="s">
        <v>21</v>
      </c>
      <c r="F9" s="5" t="s">
        <v>23</v>
      </c>
      <c r="G9" s="6">
        <f t="shared" si="0"/>
        <v>13500</v>
      </c>
      <c r="H9" s="6">
        <v>15000</v>
      </c>
    </row>
    <row r="10" spans="1:23" ht="30" customHeight="1" x14ac:dyDescent="0.25">
      <c r="A10" s="25"/>
      <c r="B10" s="4">
        <v>7</v>
      </c>
      <c r="C10" s="3" t="s">
        <v>48</v>
      </c>
      <c r="D10" s="5" t="s">
        <v>17</v>
      </c>
      <c r="E10" s="5" t="s">
        <v>21</v>
      </c>
      <c r="F10" s="5" t="s">
        <v>23</v>
      </c>
      <c r="G10" s="6">
        <f t="shared" si="0"/>
        <v>8000</v>
      </c>
      <c r="H10" s="6">
        <v>9500</v>
      </c>
    </row>
    <row r="11" spans="1:23" ht="30" customHeight="1" x14ac:dyDescent="0.25">
      <c r="A11" s="25"/>
      <c r="B11" s="4">
        <v>8</v>
      </c>
      <c r="C11" s="3" t="s">
        <v>49</v>
      </c>
      <c r="D11" s="5" t="s">
        <v>19</v>
      </c>
      <c r="E11" s="5" t="s">
        <v>21</v>
      </c>
      <c r="F11" s="5" t="s">
        <v>23</v>
      </c>
      <c r="G11" s="6">
        <f t="shared" si="0"/>
        <v>10000</v>
      </c>
      <c r="H11" s="6">
        <v>11500</v>
      </c>
    </row>
    <row r="12" spans="1:23" ht="30" customHeight="1" x14ac:dyDescent="0.25">
      <c r="A12" s="26" t="s">
        <v>24</v>
      </c>
      <c r="B12" s="4">
        <v>1</v>
      </c>
      <c r="C12" s="3" t="s">
        <v>50</v>
      </c>
      <c r="D12" s="5" t="s">
        <v>25</v>
      </c>
      <c r="E12" s="5" t="s">
        <v>20</v>
      </c>
      <c r="F12" s="5" t="s">
        <v>22</v>
      </c>
      <c r="G12" s="6">
        <f t="shared" si="0"/>
        <v>13500</v>
      </c>
      <c r="H12" s="6">
        <v>15000</v>
      </c>
    </row>
    <row r="13" spans="1:23" ht="30" customHeight="1" x14ac:dyDescent="0.25">
      <c r="A13" s="26"/>
      <c r="B13" s="4">
        <v>2</v>
      </c>
      <c r="C13" s="3" t="s">
        <v>51</v>
      </c>
      <c r="D13" s="5" t="s">
        <v>26</v>
      </c>
      <c r="E13" s="5" t="s">
        <v>20</v>
      </c>
      <c r="F13" s="5" t="s">
        <v>22</v>
      </c>
      <c r="G13" s="6">
        <f t="shared" si="0"/>
        <v>11000</v>
      </c>
      <c r="H13" s="6">
        <v>12500</v>
      </c>
    </row>
    <row r="14" spans="1:23" ht="30" customHeight="1" x14ac:dyDescent="0.25">
      <c r="A14" s="26"/>
      <c r="B14" s="4">
        <v>3</v>
      </c>
      <c r="C14" s="3" t="s">
        <v>52</v>
      </c>
      <c r="D14" s="5" t="s">
        <v>27</v>
      </c>
      <c r="E14" s="5" t="s">
        <v>21</v>
      </c>
      <c r="F14" s="5" t="s">
        <v>23</v>
      </c>
      <c r="G14" s="6">
        <f t="shared" si="0"/>
        <v>14500</v>
      </c>
      <c r="H14" s="6">
        <v>16000</v>
      </c>
    </row>
    <row r="15" spans="1:23" ht="30" customHeight="1" x14ac:dyDescent="0.25">
      <c r="A15" s="26"/>
      <c r="B15" s="4">
        <v>4</v>
      </c>
      <c r="C15" s="3" t="s">
        <v>53</v>
      </c>
      <c r="D15" s="5" t="s">
        <v>28</v>
      </c>
      <c r="E15" s="5" t="s">
        <v>21</v>
      </c>
      <c r="F15" s="5" t="s">
        <v>23</v>
      </c>
      <c r="G15" s="6">
        <f t="shared" si="0"/>
        <v>13000</v>
      </c>
      <c r="H15" s="6">
        <v>14500</v>
      </c>
    </row>
    <row r="16" spans="1:23" ht="30" customHeight="1" x14ac:dyDescent="0.25">
      <c r="A16" s="26"/>
      <c r="B16" s="4">
        <v>5</v>
      </c>
      <c r="C16" s="3" t="s">
        <v>54</v>
      </c>
      <c r="D16" s="5" t="s">
        <v>29</v>
      </c>
      <c r="E16" s="5" t="s">
        <v>21</v>
      </c>
      <c r="F16" s="5" t="s">
        <v>23</v>
      </c>
      <c r="G16" s="6">
        <f t="shared" si="0"/>
        <v>16000</v>
      </c>
      <c r="H16" s="6">
        <v>17500</v>
      </c>
    </row>
    <row r="17" spans="1:8" ht="30" customHeight="1" x14ac:dyDescent="0.25">
      <c r="A17" s="26"/>
      <c r="B17" s="4">
        <v>6</v>
      </c>
      <c r="C17" s="3" t="s">
        <v>55</v>
      </c>
      <c r="D17" s="5" t="s">
        <v>30</v>
      </c>
      <c r="E17" s="5" t="s">
        <v>21</v>
      </c>
      <c r="F17" s="5" t="s">
        <v>23</v>
      </c>
      <c r="G17" s="6">
        <f t="shared" si="0"/>
        <v>23500</v>
      </c>
      <c r="H17" s="6">
        <v>25000</v>
      </c>
    </row>
    <row r="18" spans="1:8" ht="30" customHeight="1" x14ac:dyDescent="0.25">
      <c r="A18" s="26"/>
      <c r="B18" s="4">
        <v>7</v>
      </c>
      <c r="C18" s="3" t="s">
        <v>56</v>
      </c>
      <c r="D18" s="5" t="s">
        <v>31</v>
      </c>
      <c r="E18" s="5" t="s">
        <v>21</v>
      </c>
      <c r="F18" s="5" t="s">
        <v>23</v>
      </c>
      <c r="G18" s="6">
        <f t="shared" si="0"/>
        <v>24000</v>
      </c>
      <c r="H18" s="6">
        <v>25500</v>
      </c>
    </row>
    <row r="19" spans="1:8" ht="30" customHeight="1" x14ac:dyDescent="0.25">
      <c r="A19" s="26"/>
      <c r="B19" s="4">
        <v>8</v>
      </c>
      <c r="C19" s="3" t="s">
        <v>57</v>
      </c>
      <c r="D19" s="5" t="s">
        <v>32</v>
      </c>
      <c r="E19" s="5" t="s">
        <v>21</v>
      </c>
      <c r="F19" s="5" t="s">
        <v>23</v>
      </c>
      <c r="G19" s="6">
        <f t="shared" si="0"/>
        <v>19000</v>
      </c>
      <c r="H19" s="6">
        <v>20500</v>
      </c>
    </row>
    <row r="20" spans="1:8" ht="30" customHeight="1" x14ac:dyDescent="0.25">
      <c r="A20" s="20" t="s">
        <v>33</v>
      </c>
      <c r="B20" s="4">
        <v>1</v>
      </c>
      <c r="C20" s="3" t="s">
        <v>58</v>
      </c>
      <c r="D20" s="5" t="s">
        <v>34</v>
      </c>
      <c r="E20" s="5" t="s">
        <v>21</v>
      </c>
      <c r="F20" s="5" t="s">
        <v>23</v>
      </c>
      <c r="G20" s="6">
        <f t="shared" si="0"/>
        <v>13500</v>
      </c>
      <c r="H20" s="6">
        <v>15000</v>
      </c>
    </row>
    <row r="21" spans="1:8" ht="30" customHeight="1" x14ac:dyDescent="0.25">
      <c r="A21" s="20"/>
      <c r="B21" s="4">
        <v>2</v>
      </c>
      <c r="C21" s="3" t="s">
        <v>59</v>
      </c>
      <c r="D21" s="5" t="s">
        <v>35</v>
      </c>
      <c r="E21" s="5" t="s">
        <v>21</v>
      </c>
      <c r="F21" s="5" t="s">
        <v>23</v>
      </c>
      <c r="G21" s="6">
        <f t="shared" si="0"/>
        <v>24000</v>
      </c>
      <c r="H21" s="6">
        <v>25500</v>
      </c>
    </row>
    <row r="22" spans="1:8" ht="30" customHeight="1" x14ac:dyDescent="0.25">
      <c r="A22" s="20"/>
      <c r="B22" s="4">
        <v>3</v>
      </c>
      <c r="C22" s="3" t="s">
        <v>60</v>
      </c>
      <c r="D22" s="5" t="s">
        <v>36</v>
      </c>
      <c r="E22" s="5" t="s">
        <v>21</v>
      </c>
      <c r="F22" s="5" t="s">
        <v>23</v>
      </c>
      <c r="G22" s="6">
        <f t="shared" si="0"/>
        <v>16700</v>
      </c>
      <c r="H22" s="6">
        <v>18200</v>
      </c>
    </row>
    <row r="23" spans="1:8" ht="30" customHeight="1" x14ac:dyDescent="0.25">
      <c r="A23" s="20"/>
      <c r="B23" s="4">
        <v>4</v>
      </c>
      <c r="C23" s="3" t="s">
        <v>61</v>
      </c>
      <c r="D23" s="5" t="s">
        <v>37</v>
      </c>
      <c r="E23" s="5" t="s">
        <v>21</v>
      </c>
      <c r="F23" s="5" t="s">
        <v>23</v>
      </c>
      <c r="G23" s="6">
        <f t="shared" si="0"/>
        <v>23400</v>
      </c>
      <c r="H23" s="6">
        <v>24900</v>
      </c>
    </row>
    <row r="24" spans="1:8" ht="30" customHeight="1" x14ac:dyDescent="0.25">
      <c r="A24" s="20"/>
      <c r="B24" s="4">
        <v>5</v>
      </c>
      <c r="C24" s="3" t="s">
        <v>62</v>
      </c>
      <c r="D24" s="5" t="s">
        <v>38</v>
      </c>
      <c r="E24" s="5" t="s">
        <v>20</v>
      </c>
      <c r="F24" s="5" t="s">
        <v>22</v>
      </c>
      <c r="G24" s="6">
        <f t="shared" si="0"/>
        <v>18400</v>
      </c>
      <c r="H24" s="6">
        <v>19900</v>
      </c>
    </row>
    <row r="25" spans="1:8" ht="30" customHeight="1" x14ac:dyDescent="0.25">
      <c r="A25" s="20"/>
      <c r="B25" s="4">
        <v>6</v>
      </c>
      <c r="C25" s="3" t="s">
        <v>63</v>
      </c>
      <c r="D25" s="5" t="s">
        <v>39</v>
      </c>
      <c r="E25" s="5" t="s">
        <v>20</v>
      </c>
      <c r="F25" s="5" t="s">
        <v>22</v>
      </c>
      <c r="G25" s="6">
        <f t="shared" si="0"/>
        <v>18400</v>
      </c>
      <c r="H25" s="6">
        <v>19900</v>
      </c>
    </row>
    <row r="26" spans="1:8" ht="30" customHeight="1" x14ac:dyDescent="0.25">
      <c r="A26" s="20"/>
      <c r="B26" s="4">
        <v>7</v>
      </c>
      <c r="C26" s="3" t="s">
        <v>64</v>
      </c>
      <c r="D26" s="5" t="s">
        <v>40</v>
      </c>
      <c r="E26" s="5" t="s">
        <v>20</v>
      </c>
      <c r="F26" s="5" t="s">
        <v>22</v>
      </c>
      <c r="G26" s="6">
        <f t="shared" si="0"/>
        <v>17000</v>
      </c>
      <c r="H26" s="6">
        <v>18500</v>
      </c>
    </row>
    <row r="27" spans="1:8" ht="30" customHeight="1" x14ac:dyDescent="0.25">
      <c r="A27" s="20"/>
      <c r="B27" s="4">
        <v>8</v>
      </c>
      <c r="C27" s="3" t="s">
        <v>65</v>
      </c>
      <c r="D27" s="5" t="s">
        <v>41</v>
      </c>
      <c r="E27" s="5" t="s">
        <v>20</v>
      </c>
      <c r="F27" s="5" t="s">
        <v>22</v>
      </c>
      <c r="G27" s="6">
        <f t="shared" si="0"/>
        <v>24400</v>
      </c>
      <c r="H27" s="6">
        <v>25900</v>
      </c>
    </row>
    <row r="28" spans="1:8" ht="30" customHeight="1" x14ac:dyDescent="0.25">
      <c r="A28" s="17" t="s">
        <v>1</v>
      </c>
      <c r="B28" s="17"/>
      <c r="C28" s="17"/>
      <c r="D28" s="17"/>
      <c r="E28" s="17"/>
      <c r="F28" s="17"/>
      <c r="G28" s="17"/>
      <c r="H28" s="17"/>
    </row>
    <row r="29" spans="1:8" ht="30" customHeight="1" x14ac:dyDescent="0.25">
      <c r="A29" s="1" t="s">
        <v>3</v>
      </c>
      <c r="B29" s="1" t="s">
        <v>5</v>
      </c>
      <c r="C29" s="1" t="s">
        <v>6</v>
      </c>
      <c r="D29" s="1" t="s">
        <v>8</v>
      </c>
      <c r="E29" s="1" t="s">
        <v>9</v>
      </c>
      <c r="F29" s="1" t="s">
        <v>7</v>
      </c>
      <c r="G29" s="1" t="s">
        <v>10</v>
      </c>
      <c r="H29" s="1" t="s">
        <v>11</v>
      </c>
    </row>
    <row r="30" spans="1:8" ht="30" customHeight="1" x14ac:dyDescent="0.25">
      <c r="A30" s="18" t="s">
        <v>66</v>
      </c>
      <c r="B30" s="4">
        <v>1</v>
      </c>
      <c r="C30" s="3" t="s">
        <v>67</v>
      </c>
      <c r="D30" s="5" t="s">
        <v>68</v>
      </c>
      <c r="E30" s="5" t="s">
        <v>20</v>
      </c>
      <c r="F30" s="5" t="s">
        <v>22</v>
      </c>
      <c r="G30" s="6">
        <f>H30-2000</f>
        <v>22000</v>
      </c>
      <c r="H30" s="6">
        <v>24000</v>
      </c>
    </row>
    <row r="31" spans="1:8" ht="30" customHeight="1" x14ac:dyDescent="0.25">
      <c r="A31" s="24"/>
      <c r="B31" s="4">
        <v>2</v>
      </c>
      <c r="C31" s="3" t="s">
        <v>103</v>
      </c>
      <c r="D31" s="5" t="s">
        <v>69</v>
      </c>
      <c r="E31" s="5" t="s">
        <v>20</v>
      </c>
      <c r="F31" s="5" t="s">
        <v>22</v>
      </c>
      <c r="G31" s="6">
        <f t="shared" ref="G31:G61" si="1">H31-2000</f>
        <v>26000</v>
      </c>
      <c r="H31" s="6">
        <v>28000</v>
      </c>
    </row>
    <row r="32" spans="1:8" ht="30" customHeight="1" x14ac:dyDescent="0.25">
      <c r="A32" s="24"/>
      <c r="B32" s="4">
        <v>3</v>
      </c>
      <c r="C32" s="3" t="s">
        <v>104</v>
      </c>
      <c r="D32" s="5" t="s">
        <v>70</v>
      </c>
      <c r="E32" s="5" t="s">
        <v>20</v>
      </c>
      <c r="F32" s="5" t="s">
        <v>22</v>
      </c>
      <c r="G32" s="6">
        <f t="shared" si="1"/>
        <v>28000</v>
      </c>
      <c r="H32" s="6">
        <v>30000</v>
      </c>
    </row>
    <row r="33" spans="1:8" ht="30" customHeight="1" x14ac:dyDescent="0.25">
      <c r="A33" s="24"/>
      <c r="B33" s="4">
        <v>4</v>
      </c>
      <c r="C33" s="3" t="s">
        <v>105</v>
      </c>
      <c r="D33" s="5" t="s">
        <v>71</v>
      </c>
      <c r="E33" s="5" t="s">
        <v>20</v>
      </c>
      <c r="F33" s="5" t="s">
        <v>22</v>
      </c>
      <c r="G33" s="6">
        <f t="shared" si="1"/>
        <v>53000</v>
      </c>
      <c r="H33" s="6">
        <v>55000</v>
      </c>
    </row>
    <row r="34" spans="1:8" ht="30" customHeight="1" x14ac:dyDescent="0.25">
      <c r="A34" s="24"/>
      <c r="B34" s="4">
        <v>5</v>
      </c>
      <c r="C34" s="3" t="s">
        <v>106</v>
      </c>
      <c r="D34" s="5" t="s">
        <v>72</v>
      </c>
      <c r="E34" s="5" t="s">
        <v>20</v>
      </c>
      <c r="F34" s="5" t="s">
        <v>22</v>
      </c>
      <c r="G34" s="6">
        <f t="shared" si="1"/>
        <v>31000</v>
      </c>
      <c r="H34" s="6">
        <v>33000</v>
      </c>
    </row>
    <row r="35" spans="1:8" ht="30" customHeight="1" x14ac:dyDescent="0.25">
      <c r="A35" s="24"/>
      <c r="B35" s="4">
        <v>6</v>
      </c>
      <c r="C35" s="3" t="s">
        <v>107</v>
      </c>
      <c r="D35" s="5" t="s">
        <v>73</v>
      </c>
      <c r="E35" s="5" t="s">
        <v>20</v>
      </c>
      <c r="F35" s="5" t="s">
        <v>22</v>
      </c>
      <c r="G35" s="6">
        <f t="shared" si="1"/>
        <v>25000</v>
      </c>
      <c r="H35" s="6">
        <v>27000</v>
      </c>
    </row>
    <row r="36" spans="1:8" ht="30" customHeight="1" x14ac:dyDescent="0.25">
      <c r="A36" s="24"/>
      <c r="B36" s="4">
        <v>7</v>
      </c>
      <c r="C36" s="3" t="s">
        <v>108</v>
      </c>
      <c r="D36" s="5" t="s">
        <v>74</v>
      </c>
      <c r="E36" s="5" t="s">
        <v>20</v>
      </c>
      <c r="F36" s="5" t="s">
        <v>22</v>
      </c>
      <c r="G36" s="6">
        <f t="shared" si="1"/>
        <v>8000</v>
      </c>
      <c r="H36" s="6">
        <v>10000</v>
      </c>
    </row>
    <row r="37" spans="1:8" ht="30" customHeight="1" x14ac:dyDescent="0.25">
      <c r="A37" s="24"/>
      <c r="B37" s="4">
        <v>8</v>
      </c>
      <c r="C37" s="3" t="s">
        <v>109</v>
      </c>
      <c r="D37" s="5" t="s">
        <v>75</v>
      </c>
      <c r="E37" s="5" t="s">
        <v>20</v>
      </c>
      <c r="F37" s="5" t="s">
        <v>22</v>
      </c>
      <c r="G37" s="6">
        <f t="shared" si="1"/>
        <v>4000</v>
      </c>
      <c r="H37" s="6">
        <v>6000</v>
      </c>
    </row>
    <row r="38" spans="1:8" ht="30" customHeight="1" x14ac:dyDescent="0.25">
      <c r="A38" s="19" t="s">
        <v>76</v>
      </c>
      <c r="B38" s="4">
        <v>1</v>
      </c>
      <c r="C38" s="3" t="s">
        <v>110</v>
      </c>
      <c r="D38" s="5" t="s">
        <v>77</v>
      </c>
      <c r="E38" s="5" t="s">
        <v>20</v>
      </c>
      <c r="F38" s="5" t="s">
        <v>22</v>
      </c>
      <c r="G38" s="6">
        <f t="shared" si="1"/>
        <v>10000</v>
      </c>
      <c r="H38" s="6">
        <v>12000</v>
      </c>
    </row>
    <row r="39" spans="1:8" ht="30" customHeight="1" x14ac:dyDescent="0.25">
      <c r="A39" s="19"/>
      <c r="B39" s="4">
        <v>2</v>
      </c>
      <c r="C39" s="3" t="s">
        <v>111</v>
      </c>
      <c r="D39" s="5" t="s">
        <v>78</v>
      </c>
      <c r="E39" s="5" t="s">
        <v>20</v>
      </c>
      <c r="F39" s="5" t="s">
        <v>22</v>
      </c>
      <c r="G39" s="6">
        <f t="shared" si="1"/>
        <v>12000</v>
      </c>
      <c r="H39" s="6">
        <v>14000</v>
      </c>
    </row>
    <row r="40" spans="1:8" ht="30" customHeight="1" x14ac:dyDescent="0.25">
      <c r="A40" s="19"/>
      <c r="B40" s="4">
        <v>3</v>
      </c>
      <c r="C40" s="3" t="s">
        <v>112</v>
      </c>
      <c r="D40" s="5" t="s">
        <v>79</v>
      </c>
      <c r="E40" s="5" t="s">
        <v>20</v>
      </c>
      <c r="F40" s="5" t="s">
        <v>22</v>
      </c>
      <c r="G40" s="6">
        <f t="shared" si="1"/>
        <v>9000</v>
      </c>
      <c r="H40" s="6">
        <v>11000</v>
      </c>
    </row>
    <row r="41" spans="1:8" ht="30" customHeight="1" x14ac:dyDescent="0.25">
      <c r="A41" s="19"/>
      <c r="B41" s="4">
        <v>4</v>
      </c>
      <c r="C41" s="3" t="s">
        <v>113</v>
      </c>
      <c r="D41" s="5" t="s">
        <v>80</v>
      </c>
      <c r="E41" s="5" t="s">
        <v>20</v>
      </c>
      <c r="F41" s="5" t="s">
        <v>22</v>
      </c>
      <c r="G41" s="6">
        <f t="shared" si="1"/>
        <v>10000</v>
      </c>
      <c r="H41" s="6">
        <v>12000</v>
      </c>
    </row>
    <row r="42" spans="1:8" ht="30" customHeight="1" x14ac:dyDescent="0.25">
      <c r="A42" s="19"/>
      <c r="B42" s="4">
        <v>5</v>
      </c>
      <c r="C42" s="3" t="s">
        <v>114</v>
      </c>
      <c r="D42" s="5" t="s">
        <v>81</v>
      </c>
      <c r="E42" s="5" t="s">
        <v>20</v>
      </c>
      <c r="F42" s="5" t="s">
        <v>22</v>
      </c>
      <c r="G42" s="6">
        <f t="shared" si="1"/>
        <v>13000</v>
      </c>
      <c r="H42" s="6">
        <v>15000</v>
      </c>
    </row>
    <row r="43" spans="1:8" ht="30" customHeight="1" x14ac:dyDescent="0.25">
      <c r="A43" s="19"/>
      <c r="B43" s="4">
        <v>6</v>
      </c>
      <c r="C43" s="3" t="s">
        <v>115</v>
      </c>
      <c r="D43" s="5" t="s">
        <v>82</v>
      </c>
      <c r="E43" s="5" t="s">
        <v>20</v>
      </c>
      <c r="F43" s="5" t="s">
        <v>22</v>
      </c>
      <c r="G43" s="6">
        <f t="shared" si="1"/>
        <v>15000</v>
      </c>
      <c r="H43" s="6">
        <v>17000</v>
      </c>
    </row>
    <row r="44" spans="1:8" ht="30" customHeight="1" x14ac:dyDescent="0.25">
      <c r="A44" s="19"/>
      <c r="B44" s="4">
        <v>7</v>
      </c>
      <c r="C44" s="3" t="s">
        <v>116</v>
      </c>
      <c r="D44" s="5" t="s">
        <v>83</v>
      </c>
      <c r="E44" s="5" t="s">
        <v>20</v>
      </c>
      <c r="F44" s="5" t="s">
        <v>22</v>
      </c>
      <c r="G44" s="6">
        <f t="shared" si="1"/>
        <v>8000</v>
      </c>
      <c r="H44" s="6">
        <v>10000</v>
      </c>
    </row>
    <row r="45" spans="1:8" ht="30" customHeight="1" x14ac:dyDescent="0.25">
      <c r="A45" s="19"/>
      <c r="B45" s="4">
        <v>8</v>
      </c>
      <c r="C45" s="3" t="s">
        <v>117</v>
      </c>
      <c r="D45" s="5" t="s">
        <v>84</v>
      </c>
      <c r="E45" s="5" t="s">
        <v>20</v>
      </c>
      <c r="F45" s="5" t="s">
        <v>22</v>
      </c>
      <c r="G45" s="6">
        <f t="shared" si="1"/>
        <v>7000</v>
      </c>
      <c r="H45" s="6">
        <v>9000</v>
      </c>
    </row>
    <row r="46" spans="1:8" ht="30" customHeight="1" x14ac:dyDescent="0.25">
      <c r="A46" s="20" t="s">
        <v>85</v>
      </c>
      <c r="B46" s="4">
        <v>1</v>
      </c>
      <c r="C46" s="3" t="s">
        <v>118</v>
      </c>
      <c r="D46" s="5" t="s">
        <v>86</v>
      </c>
      <c r="E46" s="5" t="s">
        <v>20</v>
      </c>
      <c r="F46" s="5" t="s">
        <v>22</v>
      </c>
      <c r="G46" s="6">
        <f t="shared" si="1"/>
        <v>18000</v>
      </c>
      <c r="H46" s="6">
        <v>20000</v>
      </c>
    </row>
    <row r="47" spans="1:8" ht="30" customHeight="1" x14ac:dyDescent="0.25">
      <c r="A47" s="20"/>
      <c r="B47" s="4">
        <v>2</v>
      </c>
      <c r="C47" s="3" t="s">
        <v>119</v>
      </c>
      <c r="D47" s="5" t="s">
        <v>87</v>
      </c>
      <c r="E47" s="5" t="s">
        <v>20</v>
      </c>
      <c r="F47" s="5" t="s">
        <v>22</v>
      </c>
      <c r="G47" s="6">
        <f t="shared" si="1"/>
        <v>26000</v>
      </c>
      <c r="H47" s="6">
        <v>28000</v>
      </c>
    </row>
    <row r="48" spans="1:8" ht="30" customHeight="1" x14ac:dyDescent="0.25">
      <c r="A48" s="20"/>
      <c r="B48" s="4">
        <v>3</v>
      </c>
      <c r="C48" s="3" t="s">
        <v>120</v>
      </c>
      <c r="D48" s="5" t="s">
        <v>88</v>
      </c>
      <c r="E48" s="5" t="s">
        <v>20</v>
      </c>
      <c r="F48" s="5" t="s">
        <v>22</v>
      </c>
      <c r="G48" s="6">
        <f t="shared" si="1"/>
        <v>20000</v>
      </c>
      <c r="H48" s="6">
        <v>22000</v>
      </c>
    </row>
    <row r="49" spans="1:8" ht="30" customHeight="1" x14ac:dyDescent="0.25">
      <c r="A49" s="20"/>
      <c r="B49" s="4">
        <v>4</v>
      </c>
      <c r="C49" s="3" t="s">
        <v>121</v>
      </c>
      <c r="D49" s="5" t="s">
        <v>89</v>
      </c>
      <c r="E49" s="5" t="s">
        <v>20</v>
      </c>
      <c r="F49" s="5" t="s">
        <v>22</v>
      </c>
      <c r="G49" s="6">
        <f t="shared" si="1"/>
        <v>17000</v>
      </c>
      <c r="H49" s="6">
        <v>19000</v>
      </c>
    </row>
    <row r="50" spans="1:8" ht="30" customHeight="1" x14ac:dyDescent="0.25">
      <c r="A50" s="20"/>
      <c r="B50" s="4">
        <v>5</v>
      </c>
      <c r="C50" s="3" t="s">
        <v>122</v>
      </c>
      <c r="D50" s="5" t="s">
        <v>90</v>
      </c>
      <c r="E50" s="5" t="s">
        <v>20</v>
      </c>
      <c r="F50" s="5" t="s">
        <v>22</v>
      </c>
      <c r="G50" s="6">
        <f t="shared" si="1"/>
        <v>31000</v>
      </c>
      <c r="H50" s="6">
        <v>33000</v>
      </c>
    </row>
    <row r="51" spans="1:8" ht="30" customHeight="1" x14ac:dyDescent="0.25">
      <c r="A51" s="20"/>
      <c r="B51" s="4">
        <v>6</v>
      </c>
      <c r="C51" s="3" t="s">
        <v>123</v>
      </c>
      <c r="D51" s="5" t="s">
        <v>91</v>
      </c>
      <c r="E51" s="5" t="s">
        <v>20</v>
      </c>
      <c r="F51" s="5" t="s">
        <v>22</v>
      </c>
      <c r="G51" s="6">
        <f t="shared" si="1"/>
        <v>15000</v>
      </c>
      <c r="H51" s="6">
        <v>17000</v>
      </c>
    </row>
    <row r="52" spans="1:8" ht="30" customHeight="1" x14ac:dyDescent="0.25">
      <c r="A52" s="20"/>
      <c r="B52" s="4">
        <v>7</v>
      </c>
      <c r="C52" s="3" t="s">
        <v>124</v>
      </c>
      <c r="D52" s="5" t="s">
        <v>92</v>
      </c>
      <c r="E52" s="5" t="s">
        <v>20</v>
      </c>
      <c r="F52" s="5" t="s">
        <v>22</v>
      </c>
      <c r="G52" s="6">
        <f t="shared" si="1"/>
        <v>13000</v>
      </c>
      <c r="H52" s="6">
        <v>15000</v>
      </c>
    </row>
    <row r="53" spans="1:8" ht="30" customHeight="1" x14ac:dyDescent="0.25">
      <c r="A53" s="20"/>
      <c r="B53" s="4">
        <v>8</v>
      </c>
      <c r="C53" s="3" t="s">
        <v>125</v>
      </c>
      <c r="D53" s="5" t="s">
        <v>93</v>
      </c>
      <c r="E53" s="5" t="s">
        <v>20</v>
      </c>
      <c r="F53" s="5" t="s">
        <v>22</v>
      </c>
      <c r="G53" s="6">
        <f t="shared" si="1"/>
        <v>18000</v>
      </c>
      <c r="H53" s="6">
        <v>20000</v>
      </c>
    </row>
    <row r="54" spans="1:8" ht="25.15" customHeight="1" x14ac:dyDescent="0.25">
      <c r="A54" s="23" t="s">
        <v>94</v>
      </c>
      <c r="B54" s="4">
        <v>1</v>
      </c>
      <c r="C54" s="3" t="s">
        <v>126</v>
      </c>
      <c r="D54" s="5" t="s">
        <v>95</v>
      </c>
      <c r="E54" s="5" t="s">
        <v>20</v>
      </c>
      <c r="F54" s="5" t="s">
        <v>22</v>
      </c>
      <c r="G54" s="6">
        <f t="shared" si="1"/>
        <v>22000</v>
      </c>
      <c r="H54" s="6">
        <v>24000</v>
      </c>
    </row>
    <row r="55" spans="1:8" ht="25.15" customHeight="1" x14ac:dyDescent="0.25">
      <c r="A55" s="23"/>
      <c r="B55" s="4">
        <v>2</v>
      </c>
      <c r="C55" s="3" t="s">
        <v>127</v>
      </c>
      <c r="D55" s="5" t="s">
        <v>96</v>
      </c>
      <c r="E55" s="5" t="s">
        <v>20</v>
      </c>
      <c r="F55" s="5" t="s">
        <v>22</v>
      </c>
      <c r="G55" s="6">
        <f t="shared" si="1"/>
        <v>26000</v>
      </c>
      <c r="H55" s="6">
        <v>28000</v>
      </c>
    </row>
    <row r="56" spans="1:8" ht="25.15" customHeight="1" x14ac:dyDescent="0.25">
      <c r="A56" s="23"/>
      <c r="B56" s="4">
        <v>3</v>
      </c>
      <c r="C56" s="3" t="s">
        <v>128</v>
      </c>
      <c r="D56" s="5" t="s">
        <v>97</v>
      </c>
      <c r="E56" s="5" t="s">
        <v>20</v>
      </c>
      <c r="F56" s="5" t="s">
        <v>22</v>
      </c>
      <c r="G56" s="6">
        <f t="shared" si="1"/>
        <v>28000</v>
      </c>
      <c r="H56" s="6">
        <v>30000</v>
      </c>
    </row>
    <row r="57" spans="1:8" ht="25.15" customHeight="1" x14ac:dyDescent="0.25">
      <c r="A57" s="23"/>
      <c r="B57" s="4">
        <v>4</v>
      </c>
      <c r="C57" s="3" t="s">
        <v>129</v>
      </c>
      <c r="D57" s="5" t="s">
        <v>98</v>
      </c>
      <c r="E57" s="5" t="s">
        <v>20</v>
      </c>
      <c r="F57" s="5" t="s">
        <v>22</v>
      </c>
      <c r="G57" s="6">
        <f t="shared" si="1"/>
        <v>53000</v>
      </c>
      <c r="H57" s="6">
        <v>55000</v>
      </c>
    </row>
    <row r="58" spans="1:8" ht="25.15" customHeight="1" x14ac:dyDescent="0.25">
      <c r="A58" s="23"/>
      <c r="B58" s="4">
        <v>5</v>
      </c>
      <c r="C58" s="3" t="s">
        <v>130</v>
      </c>
      <c r="D58" s="5" t="s">
        <v>99</v>
      </c>
      <c r="E58" s="5" t="s">
        <v>20</v>
      </c>
      <c r="F58" s="5" t="s">
        <v>22</v>
      </c>
      <c r="G58" s="6">
        <f t="shared" si="1"/>
        <v>31000</v>
      </c>
      <c r="H58" s="6">
        <v>33000</v>
      </c>
    </row>
    <row r="59" spans="1:8" ht="25.15" customHeight="1" x14ac:dyDescent="0.25">
      <c r="A59" s="23"/>
      <c r="B59" s="4">
        <v>6</v>
      </c>
      <c r="C59" s="3" t="s">
        <v>131</v>
      </c>
      <c r="D59" s="5" t="s">
        <v>100</v>
      </c>
      <c r="E59" s="5" t="s">
        <v>20</v>
      </c>
      <c r="F59" s="5" t="s">
        <v>22</v>
      </c>
      <c r="G59" s="6">
        <f t="shared" si="1"/>
        <v>25000</v>
      </c>
      <c r="H59" s="6">
        <v>27000</v>
      </c>
    </row>
    <row r="60" spans="1:8" ht="25.15" customHeight="1" x14ac:dyDescent="0.25">
      <c r="A60" s="23"/>
      <c r="B60" s="4">
        <v>7</v>
      </c>
      <c r="C60" s="3" t="s">
        <v>132</v>
      </c>
      <c r="D60" s="5" t="s">
        <v>101</v>
      </c>
      <c r="E60" s="5" t="s">
        <v>20</v>
      </c>
      <c r="F60" s="5" t="s">
        <v>22</v>
      </c>
      <c r="G60" s="6">
        <f t="shared" si="1"/>
        <v>8000</v>
      </c>
      <c r="H60" s="6">
        <v>10000</v>
      </c>
    </row>
    <row r="61" spans="1:8" ht="25.15" customHeight="1" x14ac:dyDescent="0.25">
      <c r="A61" s="23"/>
      <c r="B61" s="4">
        <v>8</v>
      </c>
      <c r="C61" s="3" t="s">
        <v>133</v>
      </c>
      <c r="D61" s="5" t="s">
        <v>102</v>
      </c>
      <c r="E61" s="5" t="s">
        <v>20</v>
      </c>
      <c r="F61" s="5" t="s">
        <v>22</v>
      </c>
      <c r="G61" s="6">
        <f t="shared" si="1"/>
        <v>4000</v>
      </c>
      <c r="H61" s="6">
        <v>6000</v>
      </c>
    </row>
    <row r="62" spans="1:8" ht="25.15" customHeight="1" x14ac:dyDescent="0.25">
      <c r="A62" s="17" t="s">
        <v>134</v>
      </c>
      <c r="B62" s="17"/>
      <c r="C62" s="17"/>
      <c r="D62" s="17"/>
      <c r="E62" s="17"/>
      <c r="F62" s="17"/>
      <c r="G62" s="17"/>
      <c r="H62" s="17"/>
    </row>
    <row r="63" spans="1:8" ht="25.15" customHeight="1" x14ac:dyDescent="0.25">
      <c r="A63" s="1" t="s">
        <v>3</v>
      </c>
      <c r="B63" s="1" t="s">
        <v>5</v>
      </c>
      <c r="C63" s="1" t="s">
        <v>6</v>
      </c>
      <c r="D63" s="1" t="s">
        <v>8</v>
      </c>
      <c r="E63" s="1" t="s">
        <v>9</v>
      </c>
      <c r="F63" s="1" t="s">
        <v>7</v>
      </c>
      <c r="G63" s="1" t="s">
        <v>10</v>
      </c>
      <c r="H63" s="1" t="s">
        <v>11</v>
      </c>
    </row>
    <row r="64" spans="1:8" ht="25.15" customHeight="1" x14ac:dyDescent="0.25">
      <c r="A64" s="18" t="s">
        <v>135</v>
      </c>
      <c r="B64" s="4">
        <v>1</v>
      </c>
      <c r="C64" s="3" t="s">
        <v>172</v>
      </c>
      <c r="D64" s="5" t="s">
        <v>138</v>
      </c>
      <c r="E64" s="5" t="s">
        <v>21</v>
      </c>
      <c r="F64" s="5" t="s">
        <v>23</v>
      </c>
      <c r="G64" s="6">
        <f>H64-2000</f>
        <v>20000</v>
      </c>
      <c r="H64" s="6">
        <v>22000</v>
      </c>
    </row>
    <row r="65" spans="1:8" ht="25.15" customHeight="1" x14ac:dyDescent="0.25">
      <c r="A65" s="18"/>
      <c r="B65" s="4">
        <v>2</v>
      </c>
      <c r="C65" s="3" t="s">
        <v>173</v>
      </c>
      <c r="D65" s="5" t="s">
        <v>139</v>
      </c>
      <c r="E65" s="5" t="s">
        <v>21</v>
      </c>
      <c r="F65" s="5" t="s">
        <v>23</v>
      </c>
      <c r="G65" s="6">
        <f t="shared" ref="G65:G87" si="2">H65-2000</f>
        <v>16000</v>
      </c>
      <c r="H65" s="6">
        <v>18000</v>
      </c>
    </row>
    <row r="66" spans="1:8" ht="25.15" customHeight="1" x14ac:dyDescent="0.25">
      <c r="A66" s="18"/>
      <c r="B66" s="4">
        <v>3</v>
      </c>
      <c r="C66" s="3" t="s">
        <v>174</v>
      </c>
      <c r="D66" s="5" t="s">
        <v>140</v>
      </c>
      <c r="E66" s="5" t="s">
        <v>21</v>
      </c>
      <c r="F66" s="5" t="s">
        <v>23</v>
      </c>
      <c r="G66" s="6">
        <f t="shared" si="2"/>
        <v>13000</v>
      </c>
      <c r="H66" s="6">
        <v>15000</v>
      </c>
    </row>
    <row r="67" spans="1:8" ht="25.15" customHeight="1" x14ac:dyDescent="0.25">
      <c r="A67" s="18"/>
      <c r="B67" s="4">
        <v>4</v>
      </c>
      <c r="C67" s="3" t="s">
        <v>175</v>
      </c>
      <c r="D67" s="5" t="s">
        <v>141</v>
      </c>
      <c r="E67" s="5" t="s">
        <v>21</v>
      </c>
      <c r="F67" s="5" t="s">
        <v>23</v>
      </c>
      <c r="G67" s="6">
        <f t="shared" si="2"/>
        <v>19000</v>
      </c>
      <c r="H67" s="6">
        <v>21000</v>
      </c>
    </row>
    <row r="68" spans="1:8" ht="25.15" customHeight="1" x14ac:dyDescent="0.25">
      <c r="A68" s="18"/>
      <c r="B68" s="4">
        <v>5</v>
      </c>
      <c r="C68" s="3" t="s">
        <v>176</v>
      </c>
      <c r="D68" s="5" t="s">
        <v>142</v>
      </c>
      <c r="E68" s="5" t="s">
        <v>21</v>
      </c>
      <c r="F68" s="5" t="s">
        <v>23</v>
      </c>
      <c r="G68" s="6">
        <f t="shared" si="2"/>
        <v>22000</v>
      </c>
      <c r="H68" s="6">
        <v>24000</v>
      </c>
    </row>
    <row r="69" spans="1:8" ht="25.15" customHeight="1" x14ac:dyDescent="0.25">
      <c r="A69" s="18"/>
      <c r="B69" s="4">
        <v>6</v>
      </c>
      <c r="C69" s="3" t="s">
        <v>177</v>
      </c>
      <c r="D69" s="5" t="s">
        <v>143</v>
      </c>
      <c r="E69" s="5" t="s">
        <v>21</v>
      </c>
      <c r="F69" s="5" t="s">
        <v>23</v>
      </c>
      <c r="G69" s="6">
        <f t="shared" si="2"/>
        <v>25000</v>
      </c>
      <c r="H69" s="6">
        <v>27000</v>
      </c>
    </row>
    <row r="70" spans="1:8" ht="25.15" customHeight="1" x14ac:dyDescent="0.25">
      <c r="A70" s="18"/>
      <c r="B70" s="4">
        <v>7</v>
      </c>
      <c r="C70" s="3" t="s">
        <v>178</v>
      </c>
      <c r="D70" s="5" t="s">
        <v>144</v>
      </c>
      <c r="E70" s="5" t="s">
        <v>21</v>
      </c>
      <c r="F70" s="5" t="s">
        <v>23</v>
      </c>
      <c r="G70" s="6">
        <f t="shared" si="2"/>
        <v>17000</v>
      </c>
      <c r="H70" s="6">
        <v>19000</v>
      </c>
    </row>
    <row r="71" spans="1:8" ht="25.15" customHeight="1" x14ac:dyDescent="0.25">
      <c r="A71" s="18"/>
      <c r="B71" s="4">
        <v>8</v>
      </c>
      <c r="C71" s="3" t="s">
        <v>179</v>
      </c>
      <c r="D71" s="5" t="s">
        <v>145</v>
      </c>
      <c r="E71" s="5" t="s">
        <v>21</v>
      </c>
      <c r="F71" s="5" t="s">
        <v>23</v>
      </c>
      <c r="G71" s="6">
        <f t="shared" si="2"/>
        <v>14000</v>
      </c>
      <c r="H71" s="6">
        <v>16000</v>
      </c>
    </row>
    <row r="72" spans="1:8" ht="25.15" customHeight="1" x14ac:dyDescent="0.25">
      <c r="A72" s="19" t="s">
        <v>136</v>
      </c>
      <c r="B72" s="4">
        <v>1</v>
      </c>
      <c r="C72" s="3" t="s">
        <v>180</v>
      </c>
      <c r="D72" s="5" t="s">
        <v>146</v>
      </c>
      <c r="E72" s="5" t="s">
        <v>21</v>
      </c>
      <c r="F72" s="5" t="s">
        <v>23</v>
      </c>
      <c r="G72" s="6">
        <f t="shared" si="2"/>
        <v>18000</v>
      </c>
      <c r="H72" s="6">
        <v>20000</v>
      </c>
    </row>
    <row r="73" spans="1:8" ht="25.15" customHeight="1" x14ac:dyDescent="0.25">
      <c r="A73" s="19"/>
      <c r="B73" s="4">
        <v>2</v>
      </c>
      <c r="C73" s="3" t="s">
        <v>181</v>
      </c>
      <c r="D73" s="5" t="s">
        <v>147</v>
      </c>
      <c r="E73" s="5" t="s">
        <v>21</v>
      </c>
      <c r="F73" s="5" t="s">
        <v>23</v>
      </c>
      <c r="G73" s="6">
        <f t="shared" si="2"/>
        <v>14000</v>
      </c>
      <c r="H73" s="6">
        <v>16000</v>
      </c>
    </row>
    <row r="74" spans="1:8" ht="25.15" customHeight="1" x14ac:dyDescent="0.25">
      <c r="A74" s="19"/>
      <c r="B74" s="4">
        <v>3</v>
      </c>
      <c r="C74" s="3" t="s">
        <v>182</v>
      </c>
      <c r="D74" s="5" t="s">
        <v>148</v>
      </c>
      <c r="E74" s="5" t="s">
        <v>21</v>
      </c>
      <c r="F74" s="5" t="s">
        <v>23</v>
      </c>
      <c r="G74" s="6">
        <f t="shared" si="2"/>
        <v>12500</v>
      </c>
      <c r="H74" s="6">
        <v>14500</v>
      </c>
    </row>
    <row r="75" spans="1:8" ht="25.15" customHeight="1" x14ac:dyDescent="0.25">
      <c r="A75" s="19"/>
      <c r="B75" s="4">
        <v>4</v>
      </c>
      <c r="C75" s="3" t="s">
        <v>183</v>
      </c>
      <c r="D75" s="5" t="s">
        <v>149</v>
      </c>
      <c r="E75" s="5" t="s">
        <v>21</v>
      </c>
      <c r="F75" s="5" t="s">
        <v>23</v>
      </c>
      <c r="G75" s="6">
        <f t="shared" si="2"/>
        <v>11999</v>
      </c>
      <c r="H75" s="6">
        <v>13999</v>
      </c>
    </row>
    <row r="76" spans="1:8" ht="25.15" customHeight="1" x14ac:dyDescent="0.25">
      <c r="A76" s="19"/>
      <c r="B76" s="4">
        <v>5</v>
      </c>
      <c r="C76" s="3" t="s">
        <v>184</v>
      </c>
      <c r="D76" s="5" t="s">
        <v>150</v>
      </c>
      <c r="E76" s="5" t="s">
        <v>21</v>
      </c>
      <c r="F76" s="5" t="s">
        <v>23</v>
      </c>
      <c r="G76" s="6">
        <f t="shared" si="2"/>
        <v>21000</v>
      </c>
      <c r="H76" s="6">
        <v>23000</v>
      </c>
    </row>
    <row r="77" spans="1:8" ht="25.15" customHeight="1" x14ac:dyDescent="0.25">
      <c r="A77" s="19"/>
      <c r="B77" s="4">
        <v>6</v>
      </c>
      <c r="C77" s="3" t="s">
        <v>185</v>
      </c>
      <c r="D77" s="5" t="s">
        <v>151</v>
      </c>
      <c r="E77" s="5" t="s">
        <v>21</v>
      </c>
      <c r="F77" s="5" t="s">
        <v>23</v>
      </c>
      <c r="G77" s="6">
        <f t="shared" si="2"/>
        <v>16500</v>
      </c>
      <c r="H77" s="6">
        <v>18500</v>
      </c>
    </row>
    <row r="78" spans="1:8" ht="25.15" customHeight="1" x14ac:dyDescent="0.25">
      <c r="A78" s="19"/>
      <c r="B78" s="4">
        <v>7</v>
      </c>
      <c r="C78" s="3" t="s">
        <v>186</v>
      </c>
      <c r="D78" s="5" t="s">
        <v>152</v>
      </c>
      <c r="E78" s="5" t="s">
        <v>21</v>
      </c>
      <c r="F78" s="5" t="s">
        <v>23</v>
      </c>
      <c r="G78" s="6">
        <f t="shared" si="2"/>
        <v>23000</v>
      </c>
      <c r="H78" s="6">
        <v>25000</v>
      </c>
    </row>
    <row r="79" spans="1:8" ht="25.15" customHeight="1" x14ac:dyDescent="0.25">
      <c r="A79" s="19"/>
      <c r="B79" s="4">
        <v>8</v>
      </c>
      <c r="C79" s="3" t="s">
        <v>187</v>
      </c>
      <c r="D79" s="5" t="s">
        <v>153</v>
      </c>
      <c r="E79" s="5" t="s">
        <v>21</v>
      </c>
      <c r="F79" s="5" t="s">
        <v>23</v>
      </c>
      <c r="G79" s="6">
        <f t="shared" si="2"/>
        <v>17000</v>
      </c>
      <c r="H79" s="6">
        <v>19000</v>
      </c>
    </row>
    <row r="80" spans="1:8" ht="25.15" customHeight="1" x14ac:dyDescent="0.25">
      <c r="A80" s="20" t="s">
        <v>94</v>
      </c>
      <c r="B80" s="4">
        <v>1</v>
      </c>
      <c r="C80" s="3" t="s">
        <v>188</v>
      </c>
      <c r="D80" s="5" t="s">
        <v>154</v>
      </c>
      <c r="E80" s="5" t="s">
        <v>21</v>
      </c>
      <c r="F80" s="5" t="s">
        <v>23</v>
      </c>
      <c r="G80" s="6">
        <f t="shared" si="2"/>
        <v>18000</v>
      </c>
      <c r="H80" s="6">
        <v>20000</v>
      </c>
    </row>
    <row r="81" spans="1:8" ht="25.15" customHeight="1" x14ac:dyDescent="0.25">
      <c r="A81" s="20"/>
      <c r="B81" s="4">
        <v>2</v>
      </c>
      <c r="C81" s="3" t="s">
        <v>189</v>
      </c>
      <c r="D81" s="5" t="s">
        <v>155</v>
      </c>
      <c r="E81" s="5" t="s">
        <v>21</v>
      </c>
      <c r="F81" s="5" t="s">
        <v>23</v>
      </c>
      <c r="G81" s="6">
        <f t="shared" si="2"/>
        <v>14000</v>
      </c>
      <c r="H81" s="6">
        <v>16000</v>
      </c>
    </row>
    <row r="82" spans="1:8" ht="25.15" customHeight="1" x14ac:dyDescent="0.25">
      <c r="A82" s="20"/>
      <c r="B82" s="4">
        <v>3</v>
      </c>
      <c r="C82" s="3" t="s">
        <v>190</v>
      </c>
      <c r="D82" s="5" t="s">
        <v>156</v>
      </c>
      <c r="E82" s="5" t="s">
        <v>21</v>
      </c>
      <c r="F82" s="5" t="s">
        <v>23</v>
      </c>
      <c r="G82" s="6">
        <f t="shared" si="2"/>
        <v>12500</v>
      </c>
      <c r="H82" s="6">
        <v>14500</v>
      </c>
    </row>
    <row r="83" spans="1:8" ht="25.15" customHeight="1" x14ac:dyDescent="0.25">
      <c r="A83" s="20"/>
      <c r="B83" s="4">
        <v>4</v>
      </c>
      <c r="C83" s="3" t="s">
        <v>191</v>
      </c>
      <c r="D83" s="5" t="s">
        <v>157</v>
      </c>
      <c r="E83" s="5" t="s">
        <v>21</v>
      </c>
      <c r="F83" s="5" t="s">
        <v>23</v>
      </c>
      <c r="G83" s="6">
        <f t="shared" si="2"/>
        <v>11999</v>
      </c>
      <c r="H83" s="6">
        <v>13999</v>
      </c>
    </row>
    <row r="84" spans="1:8" ht="25.15" customHeight="1" x14ac:dyDescent="0.25">
      <c r="A84" s="20"/>
      <c r="B84" s="4">
        <v>5</v>
      </c>
      <c r="C84" s="3" t="s">
        <v>192</v>
      </c>
      <c r="D84" s="5" t="s">
        <v>158</v>
      </c>
      <c r="E84" s="5" t="s">
        <v>21</v>
      </c>
      <c r="F84" s="5" t="s">
        <v>23</v>
      </c>
      <c r="G84" s="6">
        <f t="shared" si="2"/>
        <v>21000</v>
      </c>
      <c r="H84" s="6">
        <v>23000</v>
      </c>
    </row>
    <row r="85" spans="1:8" ht="25.15" customHeight="1" x14ac:dyDescent="0.25">
      <c r="A85" s="20"/>
      <c r="B85" s="4">
        <v>6</v>
      </c>
      <c r="C85" s="3" t="s">
        <v>193</v>
      </c>
      <c r="D85" s="5" t="s">
        <v>159</v>
      </c>
      <c r="E85" s="5" t="s">
        <v>21</v>
      </c>
      <c r="F85" s="5" t="s">
        <v>23</v>
      </c>
      <c r="G85" s="6">
        <f t="shared" si="2"/>
        <v>16500</v>
      </c>
      <c r="H85" s="6">
        <v>18500</v>
      </c>
    </row>
    <row r="86" spans="1:8" ht="25.15" customHeight="1" x14ac:dyDescent="0.25">
      <c r="A86" s="20"/>
      <c r="B86" s="4">
        <v>7</v>
      </c>
      <c r="C86" s="3" t="s">
        <v>194</v>
      </c>
      <c r="D86" s="5" t="s">
        <v>160</v>
      </c>
      <c r="E86" s="5" t="s">
        <v>21</v>
      </c>
      <c r="F86" s="5" t="s">
        <v>23</v>
      </c>
      <c r="G86" s="6">
        <f t="shared" si="2"/>
        <v>23000</v>
      </c>
      <c r="H86" s="6">
        <v>25000</v>
      </c>
    </row>
    <row r="87" spans="1:8" ht="25.15" customHeight="1" x14ac:dyDescent="0.25">
      <c r="A87" s="20"/>
      <c r="B87" s="4">
        <v>8</v>
      </c>
      <c r="C87" s="3" t="s">
        <v>195</v>
      </c>
      <c r="D87" s="5" t="s">
        <v>161</v>
      </c>
      <c r="E87" s="5" t="s">
        <v>21</v>
      </c>
      <c r="F87" s="5" t="s">
        <v>23</v>
      </c>
      <c r="G87" s="6">
        <f t="shared" si="2"/>
        <v>17000</v>
      </c>
      <c r="H87" s="6">
        <v>19000</v>
      </c>
    </row>
    <row r="88" spans="1:8" ht="25.15" customHeight="1" x14ac:dyDescent="0.25">
      <c r="A88" s="23" t="s">
        <v>137</v>
      </c>
      <c r="B88" s="4">
        <v>1</v>
      </c>
      <c r="C88" s="3" t="s">
        <v>196</v>
      </c>
      <c r="D88" s="5" t="s">
        <v>162</v>
      </c>
      <c r="E88" s="5" t="s">
        <v>21</v>
      </c>
      <c r="F88" s="5" t="s">
        <v>23</v>
      </c>
      <c r="G88" s="6">
        <f>H88-300</f>
        <v>2700</v>
      </c>
      <c r="H88" s="6">
        <v>3000</v>
      </c>
    </row>
    <row r="89" spans="1:8" ht="25.15" customHeight="1" x14ac:dyDescent="0.25">
      <c r="A89" s="23"/>
      <c r="B89" s="4">
        <v>2</v>
      </c>
      <c r="C89" s="3" t="s">
        <v>197</v>
      </c>
      <c r="D89" s="5" t="s">
        <v>163</v>
      </c>
      <c r="E89" s="5" t="s">
        <v>21</v>
      </c>
      <c r="F89" s="5" t="s">
        <v>23</v>
      </c>
      <c r="G89" s="6">
        <f t="shared" ref="G89:G95" si="3">H89-300</f>
        <v>4700</v>
      </c>
      <c r="H89" s="6">
        <v>5000</v>
      </c>
    </row>
    <row r="90" spans="1:8" ht="25.15" customHeight="1" x14ac:dyDescent="0.25">
      <c r="A90" s="23"/>
      <c r="B90" s="4">
        <v>3</v>
      </c>
      <c r="C90" s="3" t="s">
        <v>198</v>
      </c>
      <c r="D90" s="5" t="s">
        <v>164</v>
      </c>
      <c r="E90" s="5" t="s">
        <v>21</v>
      </c>
      <c r="F90" s="5" t="s">
        <v>23</v>
      </c>
      <c r="G90" s="6">
        <f t="shared" si="3"/>
        <v>3700</v>
      </c>
      <c r="H90" s="6">
        <v>4000</v>
      </c>
    </row>
    <row r="91" spans="1:8" ht="25.15" customHeight="1" x14ac:dyDescent="0.25">
      <c r="A91" s="23"/>
      <c r="B91" s="4">
        <v>4</v>
      </c>
      <c r="C91" s="3" t="s">
        <v>199</v>
      </c>
      <c r="D91" s="5" t="s">
        <v>165</v>
      </c>
      <c r="E91" s="5" t="s">
        <v>21</v>
      </c>
      <c r="F91" s="5" t="s">
        <v>23</v>
      </c>
      <c r="G91" s="6">
        <f t="shared" si="3"/>
        <v>5700</v>
      </c>
      <c r="H91" s="6">
        <v>6000</v>
      </c>
    </row>
    <row r="92" spans="1:8" ht="25.15" customHeight="1" x14ac:dyDescent="0.25">
      <c r="A92" s="23"/>
      <c r="B92" s="4">
        <v>5</v>
      </c>
      <c r="C92" s="3" t="s">
        <v>200</v>
      </c>
      <c r="D92" s="5" t="s">
        <v>166</v>
      </c>
      <c r="E92" s="5" t="s">
        <v>21</v>
      </c>
      <c r="F92" s="5" t="s">
        <v>23</v>
      </c>
      <c r="G92" s="6">
        <f t="shared" si="3"/>
        <v>5700</v>
      </c>
      <c r="H92" s="6">
        <v>6000</v>
      </c>
    </row>
    <row r="93" spans="1:8" ht="25.15" customHeight="1" x14ac:dyDescent="0.25">
      <c r="A93" s="23"/>
      <c r="B93" s="4">
        <v>6</v>
      </c>
      <c r="C93" s="3" t="s">
        <v>201</v>
      </c>
      <c r="D93" s="5" t="s">
        <v>167</v>
      </c>
      <c r="E93" s="5" t="s">
        <v>21</v>
      </c>
      <c r="F93" s="5" t="s">
        <v>23</v>
      </c>
      <c r="G93" s="6">
        <f t="shared" si="3"/>
        <v>5700</v>
      </c>
      <c r="H93" s="6">
        <v>6000</v>
      </c>
    </row>
    <row r="94" spans="1:8" ht="25.15" customHeight="1" x14ac:dyDescent="0.25">
      <c r="A94" s="23"/>
      <c r="B94" s="4">
        <v>7</v>
      </c>
      <c r="C94" s="3" t="s">
        <v>202</v>
      </c>
      <c r="D94" s="5" t="s">
        <v>168</v>
      </c>
      <c r="E94" s="5" t="s">
        <v>21</v>
      </c>
      <c r="F94" s="5" t="s">
        <v>23</v>
      </c>
      <c r="G94" s="6">
        <f t="shared" si="3"/>
        <v>6700</v>
      </c>
      <c r="H94" s="6">
        <v>7000</v>
      </c>
    </row>
    <row r="95" spans="1:8" ht="25.15" customHeight="1" x14ac:dyDescent="0.25">
      <c r="A95" s="23"/>
      <c r="B95" s="4">
        <v>8</v>
      </c>
      <c r="C95" s="3" t="s">
        <v>203</v>
      </c>
      <c r="D95" s="5" t="s">
        <v>169</v>
      </c>
      <c r="E95" s="5" t="s">
        <v>21</v>
      </c>
      <c r="F95" s="5" t="s">
        <v>23</v>
      </c>
      <c r="G95" s="6">
        <f t="shared" si="3"/>
        <v>5700</v>
      </c>
      <c r="H95" s="6">
        <v>6000</v>
      </c>
    </row>
    <row r="96" spans="1:8" ht="25.15" customHeight="1" x14ac:dyDescent="0.25">
      <c r="A96" s="17" t="s">
        <v>170</v>
      </c>
      <c r="B96" s="17"/>
      <c r="C96" s="17"/>
      <c r="D96" s="17"/>
      <c r="E96" s="17"/>
      <c r="F96" s="17"/>
      <c r="G96" s="17"/>
      <c r="H96" s="17"/>
    </row>
    <row r="97" spans="1:8" ht="25.15" customHeight="1" x14ac:dyDescent="0.25">
      <c r="A97" s="1" t="s">
        <v>3</v>
      </c>
      <c r="B97" s="1" t="s">
        <v>5</v>
      </c>
      <c r="C97" s="1" t="s">
        <v>6</v>
      </c>
      <c r="D97" s="1" t="s">
        <v>8</v>
      </c>
      <c r="E97" s="1" t="s">
        <v>9</v>
      </c>
      <c r="F97" s="1" t="s">
        <v>7</v>
      </c>
      <c r="G97" s="1" t="s">
        <v>10</v>
      </c>
      <c r="H97" s="1" t="s">
        <v>11</v>
      </c>
    </row>
    <row r="98" spans="1:8" ht="25.15" customHeight="1" x14ac:dyDescent="0.3">
      <c r="A98" s="18" t="s">
        <v>171</v>
      </c>
      <c r="B98" s="4">
        <v>1</v>
      </c>
      <c r="C98" s="3" t="s">
        <v>204</v>
      </c>
      <c r="D98" s="5" t="s">
        <v>212</v>
      </c>
      <c r="E98" s="21" t="s">
        <v>220</v>
      </c>
      <c r="F98" s="5" t="s">
        <v>221</v>
      </c>
      <c r="G98" s="7">
        <f>H98-500</f>
        <v>6000</v>
      </c>
      <c r="H98" s="6">
        <v>6500</v>
      </c>
    </row>
    <row r="99" spans="1:8" ht="25.15" customHeight="1" x14ac:dyDescent="0.3">
      <c r="A99" s="18"/>
      <c r="B99" s="4">
        <v>2</v>
      </c>
      <c r="C99" s="3" t="s">
        <v>205</v>
      </c>
      <c r="D99" s="5" t="s">
        <v>213</v>
      </c>
      <c r="E99" s="21"/>
      <c r="F99" s="5" t="s">
        <v>221</v>
      </c>
      <c r="G99" s="7">
        <f t="shared" ref="G99:G121" si="4">H99-500</f>
        <v>6700</v>
      </c>
      <c r="H99" s="6">
        <v>7200</v>
      </c>
    </row>
    <row r="100" spans="1:8" ht="25.15" customHeight="1" x14ac:dyDescent="0.3">
      <c r="A100" s="18"/>
      <c r="B100" s="4">
        <v>3</v>
      </c>
      <c r="C100" s="3" t="s">
        <v>206</v>
      </c>
      <c r="D100" s="5" t="s">
        <v>214</v>
      </c>
      <c r="E100" s="21"/>
      <c r="F100" s="5" t="s">
        <v>221</v>
      </c>
      <c r="G100" s="7">
        <f t="shared" si="4"/>
        <v>5400</v>
      </c>
      <c r="H100" s="6">
        <v>5900</v>
      </c>
    </row>
    <row r="101" spans="1:8" ht="25.15" customHeight="1" x14ac:dyDescent="0.3">
      <c r="A101" s="18"/>
      <c r="B101" s="4">
        <v>4</v>
      </c>
      <c r="C101" s="3" t="s">
        <v>207</v>
      </c>
      <c r="D101" s="5" t="s">
        <v>215</v>
      </c>
      <c r="E101" s="21"/>
      <c r="F101" s="5" t="s">
        <v>221</v>
      </c>
      <c r="G101" s="7">
        <f t="shared" si="4"/>
        <v>6300</v>
      </c>
      <c r="H101" s="6">
        <v>6800</v>
      </c>
    </row>
    <row r="102" spans="1:8" ht="25.15" customHeight="1" x14ac:dyDescent="0.3">
      <c r="A102" s="18"/>
      <c r="B102" s="4">
        <v>5</v>
      </c>
      <c r="C102" s="3" t="s">
        <v>208</v>
      </c>
      <c r="D102" s="5" t="s">
        <v>216</v>
      </c>
      <c r="E102" s="21"/>
      <c r="F102" s="5" t="s">
        <v>221</v>
      </c>
      <c r="G102" s="7">
        <f t="shared" si="4"/>
        <v>7300</v>
      </c>
      <c r="H102" s="6">
        <v>7800</v>
      </c>
    </row>
    <row r="103" spans="1:8" ht="25.15" customHeight="1" x14ac:dyDescent="0.3">
      <c r="A103" s="18"/>
      <c r="B103" s="4">
        <v>6</v>
      </c>
      <c r="C103" s="3" t="s">
        <v>209</v>
      </c>
      <c r="D103" s="5" t="s">
        <v>217</v>
      </c>
      <c r="E103" s="21"/>
      <c r="F103" s="5" t="s">
        <v>221</v>
      </c>
      <c r="G103" s="7">
        <f t="shared" si="4"/>
        <v>4700</v>
      </c>
      <c r="H103" s="6">
        <v>5200</v>
      </c>
    </row>
    <row r="104" spans="1:8" ht="25.15" customHeight="1" x14ac:dyDescent="0.3">
      <c r="A104" s="18"/>
      <c r="B104" s="4">
        <v>7</v>
      </c>
      <c r="C104" s="3" t="s">
        <v>210</v>
      </c>
      <c r="D104" s="5" t="s">
        <v>218</v>
      </c>
      <c r="E104" s="21"/>
      <c r="F104" s="5" t="s">
        <v>221</v>
      </c>
      <c r="G104" s="7">
        <f t="shared" si="4"/>
        <v>6500</v>
      </c>
      <c r="H104" s="6">
        <v>7000</v>
      </c>
    </row>
    <row r="105" spans="1:8" ht="25.15" customHeight="1" x14ac:dyDescent="0.3">
      <c r="A105" s="18"/>
      <c r="B105" s="4">
        <v>8</v>
      </c>
      <c r="C105" s="3" t="s">
        <v>211</v>
      </c>
      <c r="D105" s="5" t="s">
        <v>219</v>
      </c>
      <c r="E105" s="21"/>
      <c r="F105" s="5" t="s">
        <v>221</v>
      </c>
      <c r="G105" s="7">
        <f t="shared" si="4"/>
        <v>6000</v>
      </c>
      <c r="H105" s="6">
        <v>6500</v>
      </c>
    </row>
    <row r="106" spans="1:8" ht="25.15" customHeight="1" x14ac:dyDescent="0.3">
      <c r="A106" s="19" t="s">
        <v>222</v>
      </c>
      <c r="B106" s="4">
        <v>1</v>
      </c>
      <c r="C106" s="3" t="s">
        <v>223</v>
      </c>
      <c r="D106" s="5" t="s">
        <v>231</v>
      </c>
      <c r="E106" s="21"/>
      <c r="F106" s="5" t="s">
        <v>240</v>
      </c>
      <c r="G106" s="7">
        <f t="shared" si="4"/>
        <v>7000</v>
      </c>
      <c r="H106" s="6">
        <v>7500</v>
      </c>
    </row>
    <row r="107" spans="1:8" ht="25.15" customHeight="1" x14ac:dyDescent="0.3">
      <c r="A107" s="19"/>
      <c r="B107" s="4">
        <v>2</v>
      </c>
      <c r="C107" s="3" t="s">
        <v>224</v>
      </c>
      <c r="D107" s="5" t="s">
        <v>232</v>
      </c>
      <c r="E107" s="21"/>
      <c r="F107" s="5" t="s">
        <v>240</v>
      </c>
      <c r="G107" s="7">
        <f t="shared" si="4"/>
        <v>7700</v>
      </c>
      <c r="H107" s="6">
        <v>8200</v>
      </c>
    </row>
    <row r="108" spans="1:8" ht="25.15" customHeight="1" x14ac:dyDescent="0.3">
      <c r="A108" s="19"/>
      <c r="B108" s="4">
        <v>3</v>
      </c>
      <c r="C108" s="3" t="s">
        <v>225</v>
      </c>
      <c r="D108" s="5" t="s">
        <v>233</v>
      </c>
      <c r="E108" s="21"/>
      <c r="F108" s="5" t="s">
        <v>240</v>
      </c>
      <c r="G108" s="7">
        <f t="shared" si="4"/>
        <v>6400</v>
      </c>
      <c r="H108" s="6">
        <v>6900</v>
      </c>
    </row>
    <row r="109" spans="1:8" ht="25.15" customHeight="1" x14ac:dyDescent="0.3">
      <c r="A109" s="19"/>
      <c r="B109" s="4">
        <v>4</v>
      </c>
      <c r="C109" s="3" t="s">
        <v>226</v>
      </c>
      <c r="D109" s="5" t="s">
        <v>234</v>
      </c>
      <c r="E109" s="21"/>
      <c r="F109" s="5" t="s">
        <v>240</v>
      </c>
      <c r="G109" s="7">
        <f t="shared" si="4"/>
        <v>7300</v>
      </c>
      <c r="H109" s="6">
        <v>7800</v>
      </c>
    </row>
    <row r="110" spans="1:8" ht="25.15" customHeight="1" x14ac:dyDescent="0.3">
      <c r="A110" s="19"/>
      <c r="B110" s="4">
        <v>5</v>
      </c>
      <c r="C110" s="3" t="s">
        <v>227</v>
      </c>
      <c r="D110" s="5" t="s">
        <v>235</v>
      </c>
      <c r="E110" s="21"/>
      <c r="F110" s="5" t="s">
        <v>240</v>
      </c>
      <c r="G110" s="7">
        <f t="shared" si="4"/>
        <v>8400</v>
      </c>
      <c r="H110" s="6">
        <v>8900</v>
      </c>
    </row>
    <row r="111" spans="1:8" ht="25.15" customHeight="1" x14ac:dyDescent="0.3">
      <c r="A111" s="19"/>
      <c r="B111" s="4">
        <v>6</v>
      </c>
      <c r="C111" s="3" t="s">
        <v>228</v>
      </c>
      <c r="D111" s="5" t="s">
        <v>236</v>
      </c>
      <c r="E111" s="21"/>
      <c r="F111" s="5" t="s">
        <v>240</v>
      </c>
      <c r="G111" s="7">
        <f t="shared" si="4"/>
        <v>5800</v>
      </c>
      <c r="H111" s="6">
        <v>6300</v>
      </c>
    </row>
    <row r="112" spans="1:8" ht="25.15" customHeight="1" x14ac:dyDescent="0.3">
      <c r="A112" s="19"/>
      <c r="B112" s="4">
        <v>7</v>
      </c>
      <c r="C112" s="3" t="s">
        <v>229</v>
      </c>
      <c r="D112" s="5" t="s">
        <v>237</v>
      </c>
      <c r="E112" s="21"/>
      <c r="F112" s="5" t="s">
        <v>238</v>
      </c>
      <c r="G112" s="7">
        <f t="shared" si="4"/>
        <v>6500</v>
      </c>
      <c r="H112" s="6">
        <v>7000</v>
      </c>
    </row>
    <row r="113" spans="1:8" ht="25.15" customHeight="1" x14ac:dyDescent="0.3">
      <c r="A113" s="19"/>
      <c r="B113" s="4">
        <v>8</v>
      </c>
      <c r="C113" s="3" t="s">
        <v>230</v>
      </c>
      <c r="D113" s="5" t="s">
        <v>219</v>
      </c>
      <c r="E113" s="21"/>
      <c r="F113" s="5" t="s">
        <v>239</v>
      </c>
      <c r="G113" s="7">
        <f t="shared" si="4"/>
        <v>6000</v>
      </c>
      <c r="H113" s="6">
        <v>6500</v>
      </c>
    </row>
    <row r="114" spans="1:8" ht="25.15" customHeight="1" x14ac:dyDescent="0.3">
      <c r="A114" s="20" t="s">
        <v>241</v>
      </c>
      <c r="B114" s="4">
        <v>1</v>
      </c>
      <c r="C114" s="3" t="s">
        <v>242</v>
      </c>
      <c r="D114" s="5" t="s">
        <v>250</v>
      </c>
      <c r="E114" s="21"/>
      <c r="F114" s="5" t="s">
        <v>240</v>
      </c>
      <c r="G114" s="7">
        <f t="shared" si="4"/>
        <v>2700</v>
      </c>
      <c r="H114" s="6">
        <v>3200</v>
      </c>
    </row>
    <row r="115" spans="1:8" ht="25.15" customHeight="1" x14ac:dyDescent="0.3">
      <c r="A115" s="20"/>
      <c r="B115" s="4">
        <v>2</v>
      </c>
      <c r="C115" s="3" t="s">
        <v>243</v>
      </c>
      <c r="D115" s="5" t="s">
        <v>251</v>
      </c>
      <c r="E115" s="21"/>
      <c r="F115" s="5" t="s">
        <v>240</v>
      </c>
      <c r="G115" s="7">
        <f t="shared" si="4"/>
        <v>3300</v>
      </c>
      <c r="H115" s="6">
        <v>3800</v>
      </c>
    </row>
    <row r="116" spans="1:8" ht="25.15" customHeight="1" x14ac:dyDescent="0.3">
      <c r="A116" s="20"/>
      <c r="B116" s="4">
        <v>3</v>
      </c>
      <c r="C116" s="3" t="s">
        <v>244</v>
      </c>
      <c r="D116" s="5" t="s">
        <v>252</v>
      </c>
      <c r="E116" s="21"/>
      <c r="F116" s="5" t="s">
        <v>240</v>
      </c>
      <c r="G116" s="7">
        <f t="shared" si="4"/>
        <v>3000</v>
      </c>
      <c r="H116" s="6">
        <v>3500</v>
      </c>
    </row>
    <row r="117" spans="1:8" ht="25.15" customHeight="1" x14ac:dyDescent="0.3">
      <c r="A117" s="20"/>
      <c r="B117" s="4">
        <v>4</v>
      </c>
      <c r="C117" s="3" t="s">
        <v>245</v>
      </c>
      <c r="D117" s="5" t="s">
        <v>253</v>
      </c>
      <c r="E117" s="21"/>
      <c r="F117" s="5" t="s">
        <v>240</v>
      </c>
      <c r="G117" s="7">
        <f t="shared" si="4"/>
        <v>3400</v>
      </c>
      <c r="H117" s="6">
        <v>3900</v>
      </c>
    </row>
    <row r="118" spans="1:8" ht="25.15" customHeight="1" x14ac:dyDescent="0.3">
      <c r="A118" s="20"/>
      <c r="B118" s="4">
        <v>5</v>
      </c>
      <c r="C118" s="3" t="s">
        <v>246</v>
      </c>
      <c r="D118" s="5" t="s">
        <v>254</v>
      </c>
      <c r="E118" s="21"/>
      <c r="F118" s="5" t="s">
        <v>240</v>
      </c>
      <c r="G118" s="7">
        <f t="shared" si="4"/>
        <v>3700</v>
      </c>
      <c r="H118" s="6">
        <v>4200</v>
      </c>
    </row>
    <row r="119" spans="1:8" ht="25.15" customHeight="1" x14ac:dyDescent="0.3">
      <c r="A119" s="20"/>
      <c r="B119" s="4">
        <v>6</v>
      </c>
      <c r="C119" s="3" t="s">
        <v>247</v>
      </c>
      <c r="D119" s="5" t="s">
        <v>255</v>
      </c>
      <c r="E119" s="21"/>
      <c r="F119" s="5" t="s">
        <v>240</v>
      </c>
      <c r="G119" s="7">
        <f t="shared" si="4"/>
        <v>2400</v>
      </c>
      <c r="H119" s="6">
        <v>2900</v>
      </c>
    </row>
    <row r="120" spans="1:8" ht="25.15" customHeight="1" x14ac:dyDescent="0.3">
      <c r="A120" s="20"/>
      <c r="B120" s="4">
        <v>7</v>
      </c>
      <c r="C120" s="3" t="s">
        <v>248</v>
      </c>
      <c r="D120" s="5" t="s">
        <v>256</v>
      </c>
      <c r="E120" s="21"/>
      <c r="F120" s="5" t="s">
        <v>240</v>
      </c>
      <c r="G120" s="7">
        <f t="shared" si="4"/>
        <v>6500</v>
      </c>
      <c r="H120" s="6">
        <v>7000</v>
      </c>
    </row>
    <row r="121" spans="1:8" ht="25.15" customHeight="1" x14ac:dyDescent="0.3">
      <c r="A121" s="20"/>
      <c r="B121" s="4">
        <v>8</v>
      </c>
      <c r="C121" s="3" t="s">
        <v>249</v>
      </c>
      <c r="D121" s="5" t="s">
        <v>257</v>
      </c>
      <c r="E121" s="21"/>
      <c r="F121" s="5" t="s">
        <v>240</v>
      </c>
      <c r="G121" s="7">
        <f t="shared" si="4"/>
        <v>6000</v>
      </c>
      <c r="H121" s="6">
        <v>6500</v>
      </c>
    </row>
    <row r="122" spans="1:8" ht="25.15" customHeight="1" x14ac:dyDescent="0.25">
      <c r="A122" s="17" t="s">
        <v>258</v>
      </c>
      <c r="B122" s="17"/>
      <c r="C122" s="17"/>
      <c r="D122" s="17"/>
      <c r="E122" s="17"/>
      <c r="F122" s="17"/>
      <c r="G122" s="17"/>
      <c r="H122" s="17"/>
    </row>
    <row r="123" spans="1:8" ht="25.15" customHeight="1" x14ac:dyDescent="0.25">
      <c r="A123" s="1" t="s">
        <v>3</v>
      </c>
      <c r="B123" s="1" t="s">
        <v>5</v>
      </c>
      <c r="C123" s="1" t="s">
        <v>6</v>
      </c>
      <c r="D123" s="1" t="s">
        <v>8</v>
      </c>
      <c r="E123" s="1" t="s">
        <v>9</v>
      </c>
      <c r="F123" s="1" t="s">
        <v>7</v>
      </c>
      <c r="G123" s="1" t="s">
        <v>10</v>
      </c>
      <c r="H123" s="1" t="s">
        <v>11</v>
      </c>
    </row>
    <row r="124" spans="1:8" ht="25.15" customHeight="1" x14ac:dyDescent="0.25">
      <c r="A124" s="19" t="s">
        <v>259</v>
      </c>
      <c r="B124" s="4">
        <v>1</v>
      </c>
      <c r="C124" s="3" t="s">
        <v>261</v>
      </c>
      <c r="D124" s="5" t="s">
        <v>278</v>
      </c>
      <c r="E124" s="3" t="s">
        <v>21</v>
      </c>
      <c r="F124" s="5" t="s">
        <v>23</v>
      </c>
      <c r="G124" s="3">
        <f>H124-2000</f>
        <v>22000</v>
      </c>
      <c r="H124" s="6">
        <v>24000</v>
      </c>
    </row>
    <row r="125" spans="1:8" ht="25.15" customHeight="1" x14ac:dyDescent="0.25">
      <c r="A125" s="19"/>
      <c r="B125" s="4">
        <v>2</v>
      </c>
      <c r="C125" s="3" t="s">
        <v>262</v>
      </c>
      <c r="D125" s="5" t="s">
        <v>147</v>
      </c>
      <c r="E125" s="3" t="s">
        <v>21</v>
      </c>
      <c r="F125" s="5" t="s">
        <v>23</v>
      </c>
      <c r="G125" s="3">
        <f t="shared" ref="G125:G139" si="5">H125-2000</f>
        <v>26000</v>
      </c>
      <c r="H125" s="6">
        <v>28000</v>
      </c>
    </row>
    <row r="126" spans="1:8" ht="25.15" customHeight="1" x14ac:dyDescent="0.25">
      <c r="A126" s="19"/>
      <c r="B126" s="4">
        <v>3</v>
      </c>
      <c r="C126" s="3" t="s">
        <v>263</v>
      </c>
      <c r="D126" s="5" t="s">
        <v>279</v>
      </c>
      <c r="E126" s="3" t="s">
        <v>21</v>
      </c>
      <c r="F126" s="5" t="s">
        <v>23</v>
      </c>
      <c r="G126" s="3">
        <f t="shared" si="5"/>
        <v>28000</v>
      </c>
      <c r="H126" s="6">
        <v>30000</v>
      </c>
    </row>
    <row r="127" spans="1:8" ht="25.15" customHeight="1" x14ac:dyDescent="0.25">
      <c r="A127" s="19"/>
      <c r="B127" s="4">
        <v>4</v>
      </c>
      <c r="C127" s="3" t="s">
        <v>264</v>
      </c>
      <c r="D127" s="5" t="s">
        <v>282</v>
      </c>
      <c r="E127" s="3" t="s">
        <v>21</v>
      </c>
      <c r="F127" s="5" t="s">
        <v>23</v>
      </c>
      <c r="G127" s="3">
        <f t="shared" si="5"/>
        <v>24000</v>
      </c>
      <c r="H127" s="6">
        <v>26000</v>
      </c>
    </row>
    <row r="128" spans="1:8" ht="25.15" customHeight="1" x14ac:dyDescent="0.25">
      <c r="A128" s="19"/>
      <c r="B128" s="4">
        <v>5</v>
      </c>
      <c r="C128" s="3" t="s">
        <v>265</v>
      </c>
      <c r="D128" s="5" t="s">
        <v>280</v>
      </c>
      <c r="E128" s="3" t="s">
        <v>21</v>
      </c>
      <c r="F128" s="5" t="s">
        <v>23</v>
      </c>
      <c r="G128" s="3">
        <f t="shared" si="5"/>
        <v>17000</v>
      </c>
      <c r="H128" s="6">
        <v>19000</v>
      </c>
    </row>
    <row r="129" spans="1:8" ht="25.15" customHeight="1" x14ac:dyDescent="0.25">
      <c r="A129" s="19"/>
      <c r="B129" s="4">
        <v>6</v>
      </c>
      <c r="C129" s="3" t="s">
        <v>266</v>
      </c>
      <c r="D129" s="5" t="s">
        <v>281</v>
      </c>
      <c r="E129" s="3" t="s">
        <v>21</v>
      </c>
      <c r="F129" s="5" t="s">
        <v>23</v>
      </c>
      <c r="G129" s="3">
        <f t="shared" si="5"/>
        <v>12000</v>
      </c>
      <c r="H129" s="3">
        <v>14000</v>
      </c>
    </row>
    <row r="130" spans="1:8" ht="25.15" customHeight="1" x14ac:dyDescent="0.25">
      <c r="A130" s="19"/>
      <c r="B130" s="4">
        <v>7</v>
      </c>
      <c r="C130" s="3" t="s">
        <v>267</v>
      </c>
      <c r="D130" s="5" t="s">
        <v>283</v>
      </c>
      <c r="E130" s="3" t="s">
        <v>21</v>
      </c>
      <c r="F130" s="5" t="s">
        <v>23</v>
      </c>
      <c r="G130" s="3">
        <f t="shared" si="5"/>
        <v>13000</v>
      </c>
      <c r="H130" s="6">
        <v>15000</v>
      </c>
    </row>
    <row r="131" spans="1:8" ht="25.15" customHeight="1" x14ac:dyDescent="0.25">
      <c r="A131" s="19"/>
      <c r="B131" s="4">
        <v>8</v>
      </c>
      <c r="C131" s="3" t="s">
        <v>268</v>
      </c>
      <c r="D131" s="5" t="s">
        <v>284</v>
      </c>
      <c r="E131" s="3" t="s">
        <v>21</v>
      </c>
      <c r="F131" s="5" t="s">
        <v>23</v>
      </c>
      <c r="G131" s="3">
        <f t="shared" si="5"/>
        <v>14000</v>
      </c>
      <c r="H131" s="6">
        <v>16000</v>
      </c>
    </row>
    <row r="132" spans="1:8" ht="25.15" customHeight="1" x14ac:dyDescent="0.25">
      <c r="A132" s="20" t="s">
        <v>260</v>
      </c>
      <c r="B132" s="4">
        <v>1</v>
      </c>
      <c r="C132" s="3" t="s">
        <v>269</v>
      </c>
      <c r="D132" s="5" t="s">
        <v>285</v>
      </c>
      <c r="E132" s="3" t="s">
        <v>20</v>
      </c>
      <c r="F132" s="5" t="s">
        <v>277</v>
      </c>
      <c r="G132" s="3">
        <f t="shared" si="5"/>
        <v>22000</v>
      </c>
      <c r="H132" s="6">
        <v>24000</v>
      </c>
    </row>
    <row r="133" spans="1:8" ht="25.15" customHeight="1" x14ac:dyDescent="0.25">
      <c r="A133" s="20"/>
      <c r="B133" s="4">
        <v>2</v>
      </c>
      <c r="C133" s="3" t="s">
        <v>270</v>
      </c>
      <c r="D133" s="5" t="s">
        <v>286</v>
      </c>
      <c r="E133" s="3" t="s">
        <v>20</v>
      </c>
      <c r="F133" s="5" t="s">
        <v>277</v>
      </c>
      <c r="G133" s="3">
        <f t="shared" si="5"/>
        <v>26000</v>
      </c>
      <c r="H133" s="6">
        <v>28000</v>
      </c>
    </row>
    <row r="134" spans="1:8" ht="25.15" customHeight="1" x14ac:dyDescent="0.25">
      <c r="A134" s="20"/>
      <c r="B134" s="4">
        <v>3</v>
      </c>
      <c r="C134" s="3" t="s">
        <v>271</v>
      </c>
      <c r="D134" s="5" t="s">
        <v>287</v>
      </c>
      <c r="E134" s="3" t="s">
        <v>20</v>
      </c>
      <c r="F134" s="5" t="s">
        <v>277</v>
      </c>
      <c r="G134" s="3">
        <f t="shared" si="5"/>
        <v>28000</v>
      </c>
      <c r="H134" s="6">
        <v>30000</v>
      </c>
    </row>
    <row r="135" spans="1:8" ht="25.15" customHeight="1" x14ac:dyDescent="0.25">
      <c r="A135" s="20"/>
      <c r="B135" s="4">
        <v>4</v>
      </c>
      <c r="C135" s="3" t="s">
        <v>272</v>
      </c>
      <c r="D135" s="5" t="s">
        <v>288</v>
      </c>
      <c r="E135" s="3" t="s">
        <v>20</v>
      </c>
      <c r="F135" s="5" t="s">
        <v>277</v>
      </c>
      <c r="G135" s="3">
        <f t="shared" si="5"/>
        <v>20000</v>
      </c>
      <c r="H135" s="6">
        <v>22000</v>
      </c>
    </row>
    <row r="136" spans="1:8" ht="25.15" customHeight="1" x14ac:dyDescent="0.25">
      <c r="A136" s="20"/>
      <c r="B136" s="4">
        <v>5</v>
      </c>
      <c r="C136" s="3" t="s">
        <v>273</v>
      </c>
      <c r="D136" s="5" t="s">
        <v>289</v>
      </c>
      <c r="E136" s="3" t="s">
        <v>20</v>
      </c>
      <c r="F136" s="5" t="s">
        <v>277</v>
      </c>
      <c r="G136" s="3">
        <f t="shared" si="5"/>
        <v>15000</v>
      </c>
      <c r="H136" s="6">
        <v>17000</v>
      </c>
    </row>
    <row r="137" spans="1:8" ht="25.15" customHeight="1" x14ac:dyDescent="0.25">
      <c r="A137" s="20"/>
      <c r="B137" s="4">
        <v>6</v>
      </c>
      <c r="C137" s="3" t="s">
        <v>274</v>
      </c>
      <c r="D137" s="5" t="s">
        <v>290</v>
      </c>
      <c r="E137" s="3" t="s">
        <v>20</v>
      </c>
      <c r="F137" s="5" t="s">
        <v>277</v>
      </c>
      <c r="G137" s="3">
        <f t="shared" si="5"/>
        <v>20000</v>
      </c>
      <c r="H137" s="6">
        <v>22000</v>
      </c>
    </row>
    <row r="138" spans="1:8" ht="25.15" customHeight="1" x14ac:dyDescent="0.25">
      <c r="A138" s="20"/>
      <c r="B138" s="4">
        <v>7</v>
      </c>
      <c r="C138" s="3" t="s">
        <v>275</v>
      </c>
      <c r="D138" s="5" t="s">
        <v>291</v>
      </c>
      <c r="E138" s="3" t="s">
        <v>20</v>
      </c>
      <c r="F138" s="5" t="s">
        <v>277</v>
      </c>
      <c r="G138" s="3">
        <f t="shared" si="5"/>
        <v>17000</v>
      </c>
      <c r="H138" s="6">
        <v>19000</v>
      </c>
    </row>
    <row r="139" spans="1:8" ht="25.15" customHeight="1" x14ac:dyDescent="0.25">
      <c r="A139" s="20"/>
      <c r="B139" s="4">
        <v>8</v>
      </c>
      <c r="C139" s="3" t="s">
        <v>276</v>
      </c>
      <c r="D139" s="5" t="s">
        <v>292</v>
      </c>
      <c r="E139" s="3" t="s">
        <v>20</v>
      </c>
      <c r="F139" s="5" t="s">
        <v>277</v>
      </c>
      <c r="G139" s="3">
        <f t="shared" si="5"/>
        <v>18000</v>
      </c>
      <c r="H139" s="6">
        <v>20000</v>
      </c>
    </row>
    <row r="140" spans="1:8" ht="25.15" customHeight="1" x14ac:dyDescent="0.25">
      <c r="A140" s="17" t="s">
        <v>293</v>
      </c>
      <c r="B140" s="17"/>
      <c r="C140" s="17"/>
      <c r="D140" s="17"/>
      <c r="E140" s="17"/>
      <c r="F140" s="17"/>
      <c r="G140" s="17"/>
      <c r="H140" s="17"/>
    </row>
    <row r="141" spans="1:8" ht="25.15" customHeight="1" x14ac:dyDescent="0.25">
      <c r="A141" s="1" t="s">
        <v>3</v>
      </c>
      <c r="B141" s="1" t="s">
        <v>5</v>
      </c>
      <c r="C141" s="1" t="s">
        <v>6</v>
      </c>
      <c r="D141" s="1" t="s">
        <v>8</v>
      </c>
      <c r="E141" s="1" t="s">
        <v>9</v>
      </c>
      <c r="F141" s="1" t="s">
        <v>7</v>
      </c>
      <c r="G141" s="1" t="s">
        <v>10</v>
      </c>
      <c r="H141" s="1" t="s">
        <v>11</v>
      </c>
    </row>
    <row r="142" spans="1:8" ht="25.15" customHeight="1" x14ac:dyDescent="0.25">
      <c r="A142" s="19" t="s">
        <v>294</v>
      </c>
      <c r="B142" s="4">
        <v>1</v>
      </c>
      <c r="C142" s="3" t="s">
        <v>295</v>
      </c>
      <c r="D142" s="5" t="s">
        <v>296</v>
      </c>
      <c r="E142" s="8"/>
      <c r="F142" s="8"/>
      <c r="G142" s="6">
        <f>H142-400</f>
        <v>1600</v>
      </c>
      <c r="H142" s="6">
        <v>2000</v>
      </c>
    </row>
    <row r="143" spans="1:8" ht="25.15" customHeight="1" x14ac:dyDescent="0.25">
      <c r="A143" s="19"/>
      <c r="B143" s="4">
        <v>2</v>
      </c>
      <c r="C143" s="3" t="s">
        <v>326</v>
      </c>
      <c r="D143" s="5" t="s">
        <v>297</v>
      </c>
      <c r="E143" s="8"/>
      <c r="F143" s="8"/>
      <c r="G143" s="6">
        <f t="shared" ref="G143:G164" si="6">H143-400</f>
        <v>2600</v>
      </c>
      <c r="H143" s="6">
        <v>3000</v>
      </c>
    </row>
    <row r="144" spans="1:8" ht="25.15" customHeight="1" x14ac:dyDescent="0.25">
      <c r="A144" s="19"/>
      <c r="B144" s="4">
        <v>3</v>
      </c>
      <c r="C144" s="3" t="s">
        <v>327</v>
      </c>
      <c r="D144" s="5" t="s">
        <v>298</v>
      </c>
      <c r="E144" s="8"/>
      <c r="F144" s="8"/>
      <c r="G144" s="6">
        <f t="shared" si="6"/>
        <v>4100</v>
      </c>
      <c r="H144" s="6">
        <v>4500</v>
      </c>
    </row>
    <row r="145" spans="1:8" ht="25.15" customHeight="1" x14ac:dyDescent="0.25">
      <c r="A145" s="19"/>
      <c r="B145" s="4">
        <v>4</v>
      </c>
      <c r="C145" s="3" t="s">
        <v>328</v>
      </c>
      <c r="D145" s="5" t="s">
        <v>299</v>
      </c>
      <c r="E145" s="8"/>
      <c r="F145" s="8"/>
      <c r="G145" s="6">
        <f t="shared" si="6"/>
        <v>4100</v>
      </c>
      <c r="H145" s="6">
        <v>4500</v>
      </c>
    </row>
    <row r="146" spans="1:8" ht="25.15" customHeight="1" x14ac:dyDescent="0.25">
      <c r="A146" s="19"/>
      <c r="B146" s="4">
        <v>5</v>
      </c>
      <c r="C146" s="3" t="s">
        <v>329</v>
      </c>
      <c r="D146" s="5" t="s">
        <v>300</v>
      </c>
      <c r="E146" s="8"/>
      <c r="F146" s="8"/>
      <c r="G146" s="6">
        <f t="shared" si="6"/>
        <v>6200</v>
      </c>
      <c r="H146" s="6">
        <v>6600</v>
      </c>
    </row>
    <row r="147" spans="1:8" ht="25.15" customHeight="1" x14ac:dyDescent="0.25">
      <c r="A147" s="19"/>
      <c r="B147" s="4">
        <v>6</v>
      </c>
      <c r="C147" s="3" t="s">
        <v>330</v>
      </c>
      <c r="D147" s="5" t="s">
        <v>301</v>
      </c>
      <c r="E147" s="8"/>
      <c r="F147" s="8"/>
      <c r="G147" s="6">
        <f t="shared" si="6"/>
        <v>1600</v>
      </c>
      <c r="H147" s="6">
        <v>2000</v>
      </c>
    </row>
    <row r="148" spans="1:8" ht="25.15" customHeight="1" x14ac:dyDescent="0.25">
      <c r="A148" s="19"/>
      <c r="B148" s="4">
        <v>7</v>
      </c>
      <c r="C148" s="3" t="s">
        <v>331</v>
      </c>
      <c r="D148" s="5" t="s">
        <v>302</v>
      </c>
      <c r="E148" s="8"/>
      <c r="F148" s="8"/>
      <c r="G148" s="6">
        <f t="shared" si="6"/>
        <v>7600</v>
      </c>
      <c r="H148" s="6">
        <v>8000</v>
      </c>
    </row>
    <row r="149" spans="1:8" ht="25.15" customHeight="1" x14ac:dyDescent="0.25">
      <c r="A149" s="19"/>
      <c r="B149" s="4">
        <v>8</v>
      </c>
      <c r="C149" s="3" t="s">
        <v>332</v>
      </c>
      <c r="D149" s="5" t="s">
        <v>303</v>
      </c>
      <c r="E149" s="8"/>
      <c r="F149" s="8"/>
      <c r="G149" s="6">
        <f t="shared" si="6"/>
        <v>4600</v>
      </c>
      <c r="H149" s="6">
        <v>5000</v>
      </c>
    </row>
    <row r="150" spans="1:8" ht="25.15" customHeight="1" x14ac:dyDescent="0.25">
      <c r="A150" s="19"/>
      <c r="B150" s="4">
        <v>9</v>
      </c>
      <c r="C150" s="3" t="s">
        <v>333</v>
      </c>
      <c r="D150" s="5" t="s">
        <v>304</v>
      </c>
      <c r="E150" s="8"/>
      <c r="F150" s="8"/>
      <c r="G150" s="6">
        <f t="shared" si="6"/>
        <v>5600</v>
      </c>
      <c r="H150" s="6">
        <v>6000</v>
      </c>
    </row>
    <row r="151" spans="1:8" ht="25.15" customHeight="1" x14ac:dyDescent="0.25">
      <c r="A151" s="19"/>
      <c r="B151" s="4">
        <v>10</v>
      </c>
      <c r="C151" s="3" t="s">
        <v>334</v>
      </c>
      <c r="D151" s="5" t="s">
        <v>305</v>
      </c>
      <c r="E151" s="8"/>
      <c r="F151" s="8"/>
      <c r="G151" s="6">
        <f t="shared" si="6"/>
        <v>10600</v>
      </c>
      <c r="H151" s="6">
        <v>11000</v>
      </c>
    </row>
    <row r="152" spans="1:8" ht="25.15" customHeight="1" x14ac:dyDescent="0.25">
      <c r="A152" s="19"/>
      <c r="B152" s="4">
        <v>11</v>
      </c>
      <c r="C152" s="3" t="s">
        <v>335</v>
      </c>
      <c r="D152" s="5" t="s">
        <v>306</v>
      </c>
      <c r="E152" s="8"/>
      <c r="F152" s="8"/>
      <c r="G152" s="6">
        <f t="shared" si="6"/>
        <v>4600</v>
      </c>
      <c r="H152" s="6">
        <v>5000</v>
      </c>
    </row>
    <row r="153" spans="1:8" ht="25.15" customHeight="1" x14ac:dyDescent="0.25">
      <c r="A153" s="19"/>
      <c r="B153" s="4">
        <v>12</v>
      </c>
      <c r="C153" s="3" t="s">
        <v>336</v>
      </c>
      <c r="D153" s="5" t="s">
        <v>307</v>
      </c>
      <c r="E153" s="8"/>
      <c r="F153" s="8"/>
      <c r="G153" s="6">
        <f t="shared" si="6"/>
        <v>1600</v>
      </c>
      <c r="H153" s="6">
        <v>2000</v>
      </c>
    </row>
    <row r="154" spans="1:8" ht="25.15" customHeight="1" x14ac:dyDescent="0.25">
      <c r="A154" s="20" t="s">
        <v>355</v>
      </c>
      <c r="B154" s="4">
        <v>1</v>
      </c>
      <c r="C154" s="3" t="s">
        <v>337</v>
      </c>
      <c r="D154" s="5" t="s">
        <v>308</v>
      </c>
      <c r="E154" s="8"/>
      <c r="F154" s="8"/>
      <c r="G154" s="6">
        <f t="shared" si="6"/>
        <v>499</v>
      </c>
      <c r="H154" s="6">
        <v>899</v>
      </c>
    </row>
    <row r="155" spans="1:8" ht="25.15" customHeight="1" x14ac:dyDescent="0.25">
      <c r="A155" s="20"/>
      <c r="B155" s="4">
        <v>2</v>
      </c>
      <c r="C155" s="3" t="s">
        <v>338</v>
      </c>
      <c r="D155" s="5" t="s">
        <v>309</v>
      </c>
      <c r="E155" s="8"/>
      <c r="F155" s="8"/>
      <c r="G155" s="6">
        <f t="shared" si="6"/>
        <v>399</v>
      </c>
      <c r="H155" s="6">
        <v>799</v>
      </c>
    </row>
    <row r="156" spans="1:8" ht="25.15" customHeight="1" x14ac:dyDescent="0.25">
      <c r="A156" s="20"/>
      <c r="B156" s="4">
        <v>3</v>
      </c>
      <c r="C156" s="3" t="s">
        <v>339</v>
      </c>
      <c r="D156" s="5" t="s">
        <v>310</v>
      </c>
      <c r="E156" s="8"/>
      <c r="F156" s="8"/>
      <c r="G156" s="6">
        <f t="shared" si="6"/>
        <v>399</v>
      </c>
      <c r="H156" s="6">
        <v>799</v>
      </c>
    </row>
    <row r="157" spans="1:8" ht="25.15" customHeight="1" x14ac:dyDescent="0.25">
      <c r="A157" s="20"/>
      <c r="B157" s="4">
        <v>4</v>
      </c>
      <c r="C157" s="3" t="s">
        <v>340</v>
      </c>
      <c r="D157" s="5" t="s">
        <v>311</v>
      </c>
      <c r="E157" s="8"/>
      <c r="F157" s="8"/>
      <c r="G157" s="6">
        <f t="shared" si="6"/>
        <v>499</v>
      </c>
      <c r="H157" s="6">
        <v>899</v>
      </c>
    </row>
    <row r="158" spans="1:8" ht="25.15" customHeight="1" x14ac:dyDescent="0.25">
      <c r="A158" s="20"/>
      <c r="B158" s="4">
        <v>5</v>
      </c>
      <c r="C158" s="3" t="s">
        <v>341</v>
      </c>
      <c r="D158" s="5" t="s">
        <v>312</v>
      </c>
      <c r="E158" s="8"/>
      <c r="F158" s="8"/>
      <c r="G158" s="6">
        <f t="shared" si="6"/>
        <v>399</v>
      </c>
      <c r="H158" s="6">
        <v>799</v>
      </c>
    </row>
    <row r="159" spans="1:8" ht="25.15" customHeight="1" x14ac:dyDescent="0.25">
      <c r="A159" s="20"/>
      <c r="B159" s="4">
        <v>6</v>
      </c>
      <c r="C159" s="3" t="s">
        <v>342</v>
      </c>
      <c r="D159" s="5" t="s">
        <v>313</v>
      </c>
      <c r="E159" s="8"/>
      <c r="F159" s="8"/>
      <c r="G159" s="6">
        <f t="shared" si="6"/>
        <v>499</v>
      </c>
      <c r="H159" s="6">
        <v>899</v>
      </c>
    </row>
    <row r="160" spans="1:8" ht="25.15" customHeight="1" x14ac:dyDescent="0.25">
      <c r="A160" s="20"/>
      <c r="B160" s="4">
        <v>7</v>
      </c>
      <c r="C160" s="3" t="s">
        <v>343</v>
      </c>
      <c r="D160" s="5" t="s">
        <v>314</v>
      </c>
      <c r="E160" s="8"/>
      <c r="F160" s="8"/>
      <c r="G160" s="6">
        <f t="shared" si="6"/>
        <v>399</v>
      </c>
      <c r="H160" s="6">
        <v>799</v>
      </c>
    </row>
    <row r="161" spans="1:8" ht="25.15" customHeight="1" x14ac:dyDescent="0.25">
      <c r="A161" s="20"/>
      <c r="B161" s="4">
        <v>8</v>
      </c>
      <c r="C161" s="3" t="s">
        <v>344</v>
      </c>
      <c r="D161" s="5" t="s">
        <v>315</v>
      </c>
      <c r="E161" s="8"/>
      <c r="F161" s="8"/>
      <c r="G161" s="6">
        <f t="shared" si="6"/>
        <v>400</v>
      </c>
      <c r="H161" s="6">
        <v>800</v>
      </c>
    </row>
    <row r="162" spans="1:8" ht="25.15" customHeight="1" x14ac:dyDescent="0.25">
      <c r="A162" s="20"/>
      <c r="B162" s="4">
        <v>9</v>
      </c>
      <c r="C162" s="3" t="s">
        <v>345</v>
      </c>
      <c r="D162" s="5" t="s">
        <v>316</v>
      </c>
      <c r="E162" s="8"/>
      <c r="F162" s="8"/>
      <c r="G162" s="6">
        <f t="shared" si="6"/>
        <v>399</v>
      </c>
      <c r="H162" s="6">
        <v>799</v>
      </c>
    </row>
    <row r="163" spans="1:8" ht="25.15" customHeight="1" x14ac:dyDescent="0.25">
      <c r="A163" s="20"/>
      <c r="B163" s="4">
        <v>10</v>
      </c>
      <c r="C163" s="3" t="s">
        <v>346</v>
      </c>
      <c r="D163" s="5" t="s">
        <v>317</v>
      </c>
      <c r="E163" s="8"/>
      <c r="F163" s="8"/>
      <c r="G163" s="6">
        <f t="shared" si="6"/>
        <v>400</v>
      </c>
      <c r="H163" s="6">
        <v>800</v>
      </c>
    </row>
    <row r="164" spans="1:8" ht="25.15" customHeight="1" x14ac:dyDescent="0.25">
      <c r="A164" s="20"/>
      <c r="B164" s="4">
        <v>11</v>
      </c>
      <c r="C164" s="3" t="s">
        <v>347</v>
      </c>
      <c r="D164" s="5" t="s">
        <v>318</v>
      </c>
      <c r="E164" s="8"/>
      <c r="F164" s="8"/>
      <c r="G164" s="6">
        <f t="shared" si="6"/>
        <v>1600</v>
      </c>
      <c r="H164" s="6">
        <v>2000</v>
      </c>
    </row>
    <row r="165" spans="1:8" ht="25.15" customHeight="1" x14ac:dyDescent="0.25">
      <c r="A165" s="27" t="s">
        <v>356</v>
      </c>
      <c r="B165" s="4">
        <v>1</v>
      </c>
      <c r="C165" s="3" t="s">
        <v>348</v>
      </c>
      <c r="D165" s="5" t="s">
        <v>319</v>
      </c>
      <c r="E165" s="8"/>
      <c r="F165" s="8"/>
      <c r="G165" s="6">
        <f>H165-200</f>
        <v>400</v>
      </c>
      <c r="H165" s="6">
        <v>600</v>
      </c>
    </row>
    <row r="166" spans="1:8" ht="25.15" customHeight="1" x14ac:dyDescent="0.25">
      <c r="A166" s="27"/>
      <c r="B166" s="4">
        <v>2</v>
      </c>
      <c r="C166" s="3" t="s">
        <v>349</v>
      </c>
      <c r="D166" s="5" t="s">
        <v>320</v>
      </c>
      <c r="E166" s="8"/>
      <c r="F166" s="8"/>
      <c r="G166" s="6">
        <f t="shared" ref="G166:G171" si="7">H166-200</f>
        <v>600</v>
      </c>
      <c r="H166" s="6">
        <v>800</v>
      </c>
    </row>
    <row r="167" spans="1:8" ht="25.15" customHeight="1" x14ac:dyDescent="0.25">
      <c r="A167" s="27"/>
      <c r="B167" s="4">
        <v>3</v>
      </c>
      <c r="C167" s="3" t="s">
        <v>350</v>
      </c>
      <c r="D167" s="5" t="s">
        <v>321</v>
      </c>
      <c r="E167" s="8"/>
      <c r="F167" s="8"/>
      <c r="G167" s="6">
        <f t="shared" si="7"/>
        <v>1000</v>
      </c>
      <c r="H167" s="6">
        <v>1200</v>
      </c>
    </row>
    <row r="168" spans="1:8" ht="25.15" customHeight="1" x14ac:dyDescent="0.25">
      <c r="A168" s="27"/>
      <c r="B168" s="4">
        <v>4</v>
      </c>
      <c r="C168" s="3" t="s">
        <v>351</v>
      </c>
      <c r="D168" s="5" t="s">
        <v>322</v>
      </c>
      <c r="E168" s="8"/>
      <c r="F168" s="8"/>
      <c r="G168" s="6">
        <f t="shared" si="7"/>
        <v>100</v>
      </c>
      <c r="H168" s="6">
        <v>300</v>
      </c>
    </row>
    <row r="169" spans="1:8" ht="25.15" customHeight="1" x14ac:dyDescent="0.25">
      <c r="A169" s="27"/>
      <c r="B169" s="4">
        <v>5</v>
      </c>
      <c r="C169" s="3" t="s">
        <v>352</v>
      </c>
      <c r="D169" s="5" t="s">
        <v>323</v>
      </c>
      <c r="E169" s="8"/>
      <c r="F169" s="8"/>
      <c r="G169" s="6">
        <f t="shared" si="7"/>
        <v>400</v>
      </c>
      <c r="H169" s="6">
        <v>600</v>
      </c>
    </row>
    <row r="170" spans="1:8" ht="25.15" customHeight="1" x14ac:dyDescent="0.25">
      <c r="A170" s="27"/>
      <c r="B170" s="4">
        <v>6</v>
      </c>
      <c r="C170" s="3" t="s">
        <v>353</v>
      </c>
      <c r="D170" s="5" t="s">
        <v>324</v>
      </c>
      <c r="E170" s="8"/>
      <c r="F170" s="8"/>
      <c r="G170" s="6">
        <f t="shared" si="7"/>
        <v>1100</v>
      </c>
      <c r="H170" s="6">
        <v>1300</v>
      </c>
    </row>
    <row r="171" spans="1:8" ht="25.15" customHeight="1" x14ac:dyDescent="0.25">
      <c r="A171" s="27"/>
      <c r="B171" s="4">
        <v>7</v>
      </c>
      <c r="C171" s="3" t="s">
        <v>354</v>
      </c>
      <c r="D171" s="5" t="s">
        <v>325</v>
      </c>
      <c r="E171" s="8"/>
      <c r="F171" s="8"/>
      <c r="G171" s="6">
        <f t="shared" si="7"/>
        <v>700</v>
      </c>
      <c r="H171" s="6">
        <v>900</v>
      </c>
    </row>
  </sheetData>
  <mergeCells count="27">
    <mergeCell ref="A140:H140"/>
    <mergeCell ref="A142:A153"/>
    <mergeCell ref="A154:A164"/>
    <mergeCell ref="A165:A171"/>
    <mergeCell ref="A124:A131"/>
    <mergeCell ref="A132:A139"/>
    <mergeCell ref="A1:H1"/>
    <mergeCell ref="A2:H2"/>
    <mergeCell ref="A28:H28"/>
    <mergeCell ref="A62:H62"/>
    <mergeCell ref="A96:H96"/>
    <mergeCell ref="A72:A79"/>
    <mergeCell ref="A80:A87"/>
    <mergeCell ref="A88:A95"/>
    <mergeCell ref="A64:A71"/>
    <mergeCell ref="A20:A27"/>
    <mergeCell ref="A30:A37"/>
    <mergeCell ref="A38:A45"/>
    <mergeCell ref="A46:A53"/>
    <mergeCell ref="A54:A61"/>
    <mergeCell ref="A4:A11"/>
    <mergeCell ref="A12:A19"/>
    <mergeCell ref="A122:H122"/>
    <mergeCell ref="A98:A105"/>
    <mergeCell ref="A106:A113"/>
    <mergeCell ref="A114:A121"/>
    <mergeCell ref="E98:E12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30A8-0E21-4790-B156-BD1E603043CD}">
  <dimension ref="A1:J176"/>
  <sheetViews>
    <sheetView workbookViewId="0">
      <selection activeCell="N14" sqref="N14"/>
    </sheetView>
  </sheetViews>
  <sheetFormatPr defaultRowHeight="15" x14ac:dyDescent="0.25"/>
  <cols>
    <col min="1" max="1" width="13" customWidth="1"/>
    <col min="2" max="2" width="16.85546875" customWidth="1"/>
    <col min="3" max="3" width="39.5703125" customWidth="1"/>
    <col min="4" max="4" width="26.7109375" customWidth="1"/>
    <col min="5" max="5" width="20.5703125" bestFit="1" customWidth="1"/>
    <col min="6" max="6" width="13.42578125" bestFit="1" customWidth="1"/>
    <col min="7" max="7" width="15.28515625" customWidth="1"/>
    <col min="8" max="8" width="18.28515625" customWidth="1"/>
    <col min="9" max="9" width="18.5703125" customWidth="1"/>
    <col min="10" max="10" width="17.7109375" customWidth="1"/>
  </cols>
  <sheetData>
    <row r="1" spans="1:10" x14ac:dyDescent="0.25">
      <c r="A1" s="58"/>
      <c r="B1" s="58"/>
      <c r="C1" s="58"/>
      <c r="D1" s="58"/>
      <c r="E1" s="58" t="s">
        <v>612</v>
      </c>
      <c r="F1" s="58"/>
      <c r="G1" s="58"/>
      <c r="H1" s="58"/>
      <c r="I1" s="58"/>
      <c r="J1" s="58"/>
    </row>
    <row r="2" spans="1:10" x14ac:dyDescent="0.25">
      <c r="A2" s="57" t="s">
        <v>5</v>
      </c>
      <c r="B2" s="57" t="s">
        <v>360</v>
      </c>
      <c r="C2" s="57" t="s">
        <v>608</v>
      </c>
      <c r="D2" s="57" t="s">
        <v>358</v>
      </c>
      <c r="E2" s="57" t="s">
        <v>9</v>
      </c>
      <c r="F2" s="57" t="s">
        <v>7</v>
      </c>
      <c r="G2" s="57" t="s">
        <v>609</v>
      </c>
      <c r="H2" s="57" t="s">
        <v>10</v>
      </c>
      <c r="I2" s="57" t="s">
        <v>11</v>
      </c>
      <c r="J2" s="34" t="s">
        <v>610</v>
      </c>
    </row>
    <row r="3" spans="1:10" x14ac:dyDescent="0.25">
      <c r="A3" s="49">
        <v>1</v>
      </c>
      <c r="B3" s="49" t="s">
        <v>42</v>
      </c>
      <c r="C3" s="49" t="s">
        <v>12</v>
      </c>
      <c r="D3" s="49" t="s">
        <v>4</v>
      </c>
      <c r="E3" s="49" t="s">
        <v>21</v>
      </c>
      <c r="F3" s="49" t="s">
        <v>23</v>
      </c>
      <c r="G3" s="49">
        <v>25</v>
      </c>
      <c r="H3" s="50">
        <v>8500</v>
      </c>
      <c r="I3" s="50">
        <v>10000</v>
      </c>
      <c r="J3" s="47">
        <f>G3*H3</f>
        <v>212500</v>
      </c>
    </row>
    <row r="4" spans="1:10" x14ac:dyDescent="0.25">
      <c r="A4" s="49">
        <v>2</v>
      </c>
      <c r="B4" s="49" t="s">
        <v>43</v>
      </c>
      <c r="C4" s="49" t="s">
        <v>13</v>
      </c>
      <c r="D4" s="49" t="s">
        <v>4</v>
      </c>
      <c r="E4" s="49" t="s">
        <v>20</v>
      </c>
      <c r="F4" s="49" t="s">
        <v>22</v>
      </c>
      <c r="G4" s="49">
        <v>18</v>
      </c>
      <c r="H4" s="50">
        <v>18000</v>
      </c>
      <c r="I4" s="50">
        <v>19500</v>
      </c>
      <c r="J4" s="47">
        <f t="shared" ref="J4:J67" si="0">G4*H4</f>
        <v>324000</v>
      </c>
    </row>
    <row r="5" spans="1:10" x14ac:dyDescent="0.25">
      <c r="A5" s="49">
        <v>3</v>
      </c>
      <c r="B5" s="49" t="s">
        <v>44</v>
      </c>
      <c r="C5" s="49" t="s">
        <v>14</v>
      </c>
      <c r="D5" s="49" t="s">
        <v>4</v>
      </c>
      <c r="E5" s="49" t="s">
        <v>20</v>
      </c>
      <c r="F5" s="49" t="s">
        <v>22</v>
      </c>
      <c r="G5" s="49">
        <v>20</v>
      </c>
      <c r="H5" s="50">
        <v>14700</v>
      </c>
      <c r="I5" s="50">
        <v>16200</v>
      </c>
      <c r="J5" s="47">
        <f t="shared" si="0"/>
        <v>294000</v>
      </c>
    </row>
    <row r="6" spans="1:10" x14ac:dyDescent="0.25">
      <c r="A6" s="49">
        <v>4</v>
      </c>
      <c r="B6" s="49" t="s">
        <v>45</v>
      </c>
      <c r="C6" s="49" t="s">
        <v>15</v>
      </c>
      <c r="D6" s="49" t="s">
        <v>4</v>
      </c>
      <c r="E6" s="49" t="s">
        <v>20</v>
      </c>
      <c r="F6" s="49" t="s">
        <v>22</v>
      </c>
      <c r="G6" s="49">
        <v>15</v>
      </c>
      <c r="H6" s="50">
        <v>13000</v>
      </c>
      <c r="I6" s="50">
        <v>14500</v>
      </c>
      <c r="J6" s="47">
        <f t="shared" si="0"/>
        <v>195000</v>
      </c>
    </row>
    <row r="7" spans="1:10" x14ac:dyDescent="0.25">
      <c r="A7" s="49">
        <v>5</v>
      </c>
      <c r="B7" s="49" t="s">
        <v>46</v>
      </c>
      <c r="C7" s="49" t="s">
        <v>16</v>
      </c>
      <c r="D7" s="49" t="s">
        <v>4</v>
      </c>
      <c r="E7" s="49" t="s">
        <v>20</v>
      </c>
      <c r="F7" s="49" t="s">
        <v>22</v>
      </c>
      <c r="G7" s="49">
        <v>18</v>
      </c>
      <c r="H7" s="50">
        <v>16400</v>
      </c>
      <c r="I7" s="50">
        <v>17900</v>
      </c>
      <c r="J7" s="47">
        <f t="shared" si="0"/>
        <v>295200</v>
      </c>
    </row>
    <row r="8" spans="1:10" x14ac:dyDescent="0.25">
      <c r="A8" s="49">
        <v>6</v>
      </c>
      <c r="B8" s="49" t="s">
        <v>47</v>
      </c>
      <c r="C8" s="49" t="s">
        <v>18</v>
      </c>
      <c r="D8" s="49" t="s">
        <v>4</v>
      </c>
      <c r="E8" s="49" t="s">
        <v>21</v>
      </c>
      <c r="F8" s="49" t="s">
        <v>23</v>
      </c>
      <c r="G8" s="49">
        <v>12</v>
      </c>
      <c r="H8" s="50">
        <v>13500</v>
      </c>
      <c r="I8" s="50">
        <v>15000</v>
      </c>
      <c r="J8" s="47">
        <f t="shared" si="0"/>
        <v>162000</v>
      </c>
    </row>
    <row r="9" spans="1:10" x14ac:dyDescent="0.25">
      <c r="A9" s="49">
        <v>7</v>
      </c>
      <c r="B9" s="49" t="s">
        <v>48</v>
      </c>
      <c r="C9" s="49" t="s">
        <v>17</v>
      </c>
      <c r="D9" s="49" t="s">
        <v>4</v>
      </c>
      <c r="E9" s="49" t="s">
        <v>21</v>
      </c>
      <c r="F9" s="49" t="s">
        <v>23</v>
      </c>
      <c r="G9" s="49">
        <v>14</v>
      </c>
      <c r="H9" s="50">
        <v>8000</v>
      </c>
      <c r="I9" s="50">
        <v>9500</v>
      </c>
      <c r="J9" s="47">
        <f t="shared" si="0"/>
        <v>112000</v>
      </c>
    </row>
    <row r="10" spans="1:10" x14ac:dyDescent="0.25">
      <c r="A10" s="49">
        <v>8</v>
      </c>
      <c r="B10" s="49" t="s">
        <v>49</v>
      </c>
      <c r="C10" s="49" t="s">
        <v>611</v>
      </c>
      <c r="D10" s="49" t="s">
        <v>4</v>
      </c>
      <c r="E10" s="49" t="s">
        <v>21</v>
      </c>
      <c r="F10" s="49" t="s">
        <v>23</v>
      </c>
      <c r="G10" s="49">
        <v>20</v>
      </c>
      <c r="H10" s="50">
        <v>10000</v>
      </c>
      <c r="I10" s="50">
        <v>11500</v>
      </c>
      <c r="J10" s="47">
        <f t="shared" si="0"/>
        <v>200000</v>
      </c>
    </row>
    <row r="11" spans="1:10" x14ac:dyDescent="0.25">
      <c r="A11" s="49">
        <v>9</v>
      </c>
      <c r="B11" s="49" t="s">
        <v>50</v>
      </c>
      <c r="C11" s="49" t="s">
        <v>25</v>
      </c>
      <c r="D11" s="49" t="s">
        <v>24</v>
      </c>
      <c r="E11" s="49" t="s">
        <v>20</v>
      </c>
      <c r="F11" s="49" t="s">
        <v>22</v>
      </c>
      <c r="G11" s="49">
        <v>22</v>
      </c>
      <c r="H11" s="50">
        <v>13500</v>
      </c>
      <c r="I11" s="50">
        <v>15000</v>
      </c>
      <c r="J11" s="47">
        <f t="shared" si="0"/>
        <v>297000</v>
      </c>
    </row>
    <row r="12" spans="1:10" x14ac:dyDescent="0.25">
      <c r="A12" s="49">
        <v>10</v>
      </c>
      <c r="B12" s="49" t="s">
        <v>51</v>
      </c>
      <c r="C12" s="49" t="s">
        <v>26</v>
      </c>
      <c r="D12" s="49" t="s">
        <v>24</v>
      </c>
      <c r="E12" s="49" t="s">
        <v>20</v>
      </c>
      <c r="F12" s="49" t="s">
        <v>22</v>
      </c>
      <c r="G12" s="49">
        <v>18</v>
      </c>
      <c r="H12" s="50">
        <v>11000</v>
      </c>
      <c r="I12" s="50">
        <v>12500</v>
      </c>
      <c r="J12" s="47">
        <f t="shared" si="0"/>
        <v>198000</v>
      </c>
    </row>
    <row r="13" spans="1:10" x14ac:dyDescent="0.25">
      <c r="A13" s="49">
        <v>11</v>
      </c>
      <c r="B13" s="49" t="s">
        <v>52</v>
      </c>
      <c r="C13" s="49" t="s">
        <v>27</v>
      </c>
      <c r="D13" s="49" t="s">
        <v>24</v>
      </c>
      <c r="E13" s="49" t="s">
        <v>21</v>
      </c>
      <c r="F13" s="49" t="s">
        <v>23</v>
      </c>
      <c r="G13" s="49">
        <v>14</v>
      </c>
      <c r="H13" s="50">
        <v>14500</v>
      </c>
      <c r="I13" s="50">
        <v>16000</v>
      </c>
      <c r="J13" s="47">
        <f t="shared" si="0"/>
        <v>203000</v>
      </c>
    </row>
    <row r="14" spans="1:10" x14ac:dyDescent="0.25">
      <c r="A14" s="49">
        <v>12</v>
      </c>
      <c r="B14" s="49" t="s">
        <v>53</v>
      </c>
      <c r="C14" s="49" t="s">
        <v>28</v>
      </c>
      <c r="D14" s="49" t="s">
        <v>24</v>
      </c>
      <c r="E14" s="49" t="s">
        <v>21</v>
      </c>
      <c r="F14" s="49" t="s">
        <v>23</v>
      </c>
      <c r="G14" s="49">
        <v>12</v>
      </c>
      <c r="H14" s="50">
        <v>13000</v>
      </c>
      <c r="I14" s="50">
        <v>14500</v>
      </c>
      <c r="J14" s="47">
        <f t="shared" si="0"/>
        <v>156000</v>
      </c>
    </row>
    <row r="15" spans="1:10" x14ac:dyDescent="0.25">
      <c r="A15" s="49">
        <v>13</v>
      </c>
      <c r="B15" s="49" t="s">
        <v>54</v>
      </c>
      <c r="C15" s="49" t="s">
        <v>29</v>
      </c>
      <c r="D15" s="49" t="s">
        <v>24</v>
      </c>
      <c r="E15" s="49" t="s">
        <v>21</v>
      </c>
      <c r="F15" s="49" t="s">
        <v>23</v>
      </c>
      <c r="G15" s="49">
        <v>10</v>
      </c>
      <c r="H15" s="50">
        <v>16000</v>
      </c>
      <c r="I15" s="50">
        <v>17500</v>
      </c>
      <c r="J15" s="47">
        <f t="shared" si="0"/>
        <v>160000</v>
      </c>
    </row>
    <row r="16" spans="1:10" x14ac:dyDescent="0.25">
      <c r="A16" s="49">
        <v>14</v>
      </c>
      <c r="B16" s="49" t="s">
        <v>55</v>
      </c>
      <c r="C16" s="49" t="s">
        <v>30</v>
      </c>
      <c r="D16" s="49" t="s">
        <v>24</v>
      </c>
      <c r="E16" s="49" t="s">
        <v>21</v>
      </c>
      <c r="F16" s="49" t="s">
        <v>23</v>
      </c>
      <c r="G16" s="49">
        <v>15</v>
      </c>
      <c r="H16" s="50">
        <v>23500</v>
      </c>
      <c r="I16" s="50">
        <v>25000</v>
      </c>
      <c r="J16" s="47">
        <f t="shared" si="0"/>
        <v>352500</v>
      </c>
    </row>
    <row r="17" spans="1:10" x14ac:dyDescent="0.25">
      <c r="A17" s="49">
        <v>15</v>
      </c>
      <c r="B17" s="49" t="s">
        <v>56</v>
      </c>
      <c r="C17" s="49" t="s">
        <v>31</v>
      </c>
      <c r="D17" s="49" t="s">
        <v>24</v>
      </c>
      <c r="E17" s="49" t="s">
        <v>21</v>
      </c>
      <c r="F17" s="49" t="s">
        <v>23</v>
      </c>
      <c r="G17" s="49">
        <v>12</v>
      </c>
      <c r="H17" s="50">
        <v>24000</v>
      </c>
      <c r="I17" s="50">
        <v>25500</v>
      </c>
      <c r="J17" s="47">
        <f t="shared" si="0"/>
        <v>288000</v>
      </c>
    </row>
    <row r="18" spans="1:10" x14ac:dyDescent="0.25">
      <c r="A18" s="49">
        <v>16</v>
      </c>
      <c r="B18" s="49" t="s">
        <v>57</v>
      </c>
      <c r="C18" s="49" t="s">
        <v>32</v>
      </c>
      <c r="D18" s="49" t="s">
        <v>24</v>
      </c>
      <c r="E18" s="49" t="s">
        <v>21</v>
      </c>
      <c r="F18" s="49" t="s">
        <v>23</v>
      </c>
      <c r="G18" s="49">
        <v>10</v>
      </c>
      <c r="H18" s="50">
        <v>19000</v>
      </c>
      <c r="I18" s="50">
        <v>20500</v>
      </c>
      <c r="J18" s="47">
        <f t="shared" si="0"/>
        <v>190000</v>
      </c>
    </row>
    <row r="19" spans="1:10" x14ac:dyDescent="0.25">
      <c r="A19" s="49">
        <v>17</v>
      </c>
      <c r="B19" s="49" t="s">
        <v>58</v>
      </c>
      <c r="C19" s="49" t="s">
        <v>34</v>
      </c>
      <c r="D19" s="49" t="s">
        <v>33</v>
      </c>
      <c r="E19" s="49" t="s">
        <v>21</v>
      </c>
      <c r="F19" s="49" t="s">
        <v>23</v>
      </c>
      <c r="G19" s="49">
        <v>18</v>
      </c>
      <c r="H19" s="50">
        <v>13500</v>
      </c>
      <c r="I19" s="50">
        <v>15000</v>
      </c>
      <c r="J19" s="47">
        <f t="shared" si="0"/>
        <v>243000</v>
      </c>
    </row>
    <row r="20" spans="1:10" x14ac:dyDescent="0.25">
      <c r="A20" s="49">
        <v>18</v>
      </c>
      <c r="B20" s="49" t="s">
        <v>59</v>
      </c>
      <c r="C20" s="49" t="s">
        <v>35</v>
      </c>
      <c r="D20" s="49" t="s">
        <v>33</v>
      </c>
      <c r="E20" s="49" t="s">
        <v>21</v>
      </c>
      <c r="F20" s="49" t="s">
        <v>23</v>
      </c>
      <c r="G20" s="49">
        <v>12</v>
      </c>
      <c r="H20" s="50">
        <v>24000</v>
      </c>
      <c r="I20" s="50">
        <v>25500</v>
      </c>
      <c r="J20" s="47">
        <f t="shared" si="0"/>
        <v>288000</v>
      </c>
    </row>
    <row r="21" spans="1:10" x14ac:dyDescent="0.25">
      <c r="A21" s="49">
        <v>19</v>
      </c>
      <c r="B21" s="49" t="s">
        <v>60</v>
      </c>
      <c r="C21" s="49" t="s">
        <v>36</v>
      </c>
      <c r="D21" s="49" t="s">
        <v>33</v>
      </c>
      <c r="E21" s="49" t="s">
        <v>21</v>
      </c>
      <c r="F21" s="49" t="s">
        <v>23</v>
      </c>
      <c r="G21" s="49">
        <v>20</v>
      </c>
      <c r="H21" s="50">
        <v>16700</v>
      </c>
      <c r="I21" s="50">
        <v>18200</v>
      </c>
      <c r="J21" s="47">
        <f t="shared" si="0"/>
        <v>334000</v>
      </c>
    </row>
    <row r="22" spans="1:10" x14ac:dyDescent="0.25">
      <c r="A22" s="49">
        <v>20</v>
      </c>
      <c r="B22" s="49" t="s">
        <v>61</v>
      </c>
      <c r="C22" s="49" t="s">
        <v>37</v>
      </c>
      <c r="D22" s="49" t="s">
        <v>33</v>
      </c>
      <c r="E22" s="49" t="s">
        <v>21</v>
      </c>
      <c r="F22" s="49" t="s">
        <v>23</v>
      </c>
      <c r="G22" s="49">
        <v>22</v>
      </c>
      <c r="H22" s="50">
        <v>23400</v>
      </c>
      <c r="I22" s="50">
        <v>24900</v>
      </c>
      <c r="J22" s="47">
        <f t="shared" si="0"/>
        <v>514800</v>
      </c>
    </row>
    <row r="23" spans="1:10" x14ac:dyDescent="0.25">
      <c r="A23" s="52">
        <v>21</v>
      </c>
      <c r="B23" s="53" t="s">
        <v>62</v>
      </c>
      <c r="C23" s="51" t="s">
        <v>38</v>
      </c>
      <c r="D23" s="52" t="s">
        <v>33</v>
      </c>
      <c r="E23" s="51" t="s">
        <v>20</v>
      </c>
      <c r="F23" s="51" t="s">
        <v>22</v>
      </c>
      <c r="G23" s="52">
        <v>23</v>
      </c>
      <c r="H23" s="54">
        <f t="shared" ref="H23:H26" si="1">I23-1500</f>
        <v>18400</v>
      </c>
      <c r="I23" s="54">
        <v>19900</v>
      </c>
      <c r="J23" s="47">
        <f t="shared" si="0"/>
        <v>423200</v>
      </c>
    </row>
    <row r="24" spans="1:10" x14ac:dyDescent="0.25">
      <c r="A24" s="52">
        <v>22</v>
      </c>
      <c r="B24" s="53" t="s">
        <v>63</v>
      </c>
      <c r="C24" s="51" t="s">
        <v>39</v>
      </c>
      <c r="D24" s="52" t="s">
        <v>33</v>
      </c>
      <c r="E24" s="51" t="s">
        <v>20</v>
      </c>
      <c r="F24" s="51" t="s">
        <v>22</v>
      </c>
      <c r="G24" s="52">
        <v>21</v>
      </c>
      <c r="H24" s="54">
        <f t="shared" si="1"/>
        <v>18400</v>
      </c>
      <c r="I24" s="54">
        <v>19900</v>
      </c>
      <c r="J24" s="47">
        <f t="shared" si="0"/>
        <v>386400</v>
      </c>
    </row>
    <row r="25" spans="1:10" x14ac:dyDescent="0.25">
      <c r="A25" s="52">
        <v>23</v>
      </c>
      <c r="B25" s="53" t="s">
        <v>64</v>
      </c>
      <c r="C25" s="51" t="s">
        <v>40</v>
      </c>
      <c r="D25" s="52" t="s">
        <v>33</v>
      </c>
      <c r="E25" s="51" t="s">
        <v>20</v>
      </c>
      <c r="F25" s="51" t="s">
        <v>22</v>
      </c>
      <c r="G25" s="52">
        <v>20</v>
      </c>
      <c r="H25" s="54">
        <f t="shared" si="1"/>
        <v>17000</v>
      </c>
      <c r="I25" s="54">
        <v>18500</v>
      </c>
      <c r="J25" s="47">
        <f t="shared" si="0"/>
        <v>340000</v>
      </c>
    </row>
    <row r="26" spans="1:10" x14ac:dyDescent="0.25">
      <c r="A26" s="52">
        <v>23</v>
      </c>
      <c r="B26" s="53" t="s">
        <v>65</v>
      </c>
      <c r="C26" s="51" t="s">
        <v>41</v>
      </c>
      <c r="D26" s="52" t="s">
        <v>33</v>
      </c>
      <c r="E26" s="51" t="s">
        <v>20</v>
      </c>
      <c r="F26" s="51" t="s">
        <v>22</v>
      </c>
      <c r="G26" s="52">
        <v>14</v>
      </c>
      <c r="H26" s="54">
        <f t="shared" si="1"/>
        <v>24400</v>
      </c>
      <c r="I26" s="54">
        <v>25900</v>
      </c>
      <c r="J26" s="47">
        <f t="shared" si="0"/>
        <v>341600</v>
      </c>
    </row>
    <row r="27" spans="1:10" x14ac:dyDescent="0.25">
      <c r="A27" s="52">
        <v>25</v>
      </c>
      <c r="B27" s="53" t="s">
        <v>67</v>
      </c>
      <c r="C27" s="51" t="s">
        <v>68</v>
      </c>
      <c r="D27" s="51" t="s">
        <v>1</v>
      </c>
      <c r="E27" s="51" t="s">
        <v>20</v>
      </c>
      <c r="F27" s="51" t="s">
        <v>22</v>
      </c>
      <c r="G27" s="54">
        <v>15</v>
      </c>
      <c r="H27" s="54">
        <v>22000</v>
      </c>
      <c r="I27" s="54">
        <v>24000</v>
      </c>
      <c r="J27" s="47">
        <f t="shared" si="0"/>
        <v>330000</v>
      </c>
    </row>
    <row r="28" spans="1:10" x14ac:dyDescent="0.25">
      <c r="A28" s="52">
        <v>26</v>
      </c>
      <c r="B28" s="53" t="s">
        <v>103</v>
      </c>
      <c r="C28" s="51" t="s">
        <v>69</v>
      </c>
      <c r="D28" s="51" t="s">
        <v>1</v>
      </c>
      <c r="E28" s="51" t="s">
        <v>20</v>
      </c>
      <c r="F28" s="51" t="s">
        <v>22</v>
      </c>
      <c r="G28" s="54">
        <v>20</v>
      </c>
      <c r="H28" s="54">
        <f t="shared" ref="F28:H58" si="2">I28-2000</f>
        <v>26000</v>
      </c>
      <c r="I28" s="54">
        <v>28000</v>
      </c>
      <c r="J28" s="47">
        <f t="shared" si="0"/>
        <v>520000</v>
      </c>
    </row>
    <row r="29" spans="1:10" x14ac:dyDescent="0.25">
      <c r="A29" s="52">
        <v>27</v>
      </c>
      <c r="B29" s="53" t="s">
        <v>104</v>
      </c>
      <c r="C29" s="51" t="s">
        <v>70</v>
      </c>
      <c r="D29" s="51" t="s">
        <v>1</v>
      </c>
      <c r="E29" s="51" t="s">
        <v>20</v>
      </c>
      <c r="F29" s="51" t="s">
        <v>22</v>
      </c>
      <c r="G29" s="54">
        <v>22</v>
      </c>
      <c r="H29" s="54">
        <f t="shared" si="2"/>
        <v>28000</v>
      </c>
      <c r="I29" s="54">
        <v>30000</v>
      </c>
      <c r="J29" s="47">
        <f t="shared" si="0"/>
        <v>616000</v>
      </c>
    </row>
    <row r="30" spans="1:10" x14ac:dyDescent="0.25">
      <c r="A30" s="52">
        <v>28</v>
      </c>
      <c r="B30" s="53" t="s">
        <v>105</v>
      </c>
      <c r="C30" s="51" t="s">
        <v>71</v>
      </c>
      <c r="D30" s="51" t="s">
        <v>1</v>
      </c>
      <c r="E30" s="51" t="s">
        <v>20</v>
      </c>
      <c r="F30" s="51" t="s">
        <v>22</v>
      </c>
      <c r="G30" s="54">
        <v>10</v>
      </c>
      <c r="H30" s="54">
        <f t="shared" si="2"/>
        <v>53000</v>
      </c>
      <c r="I30" s="54">
        <v>55000</v>
      </c>
      <c r="J30" s="47">
        <f t="shared" si="0"/>
        <v>530000</v>
      </c>
    </row>
    <row r="31" spans="1:10" x14ac:dyDescent="0.25">
      <c r="A31" s="52">
        <v>29</v>
      </c>
      <c r="B31" s="53" t="s">
        <v>106</v>
      </c>
      <c r="C31" s="51" t="s">
        <v>72</v>
      </c>
      <c r="D31" s="51" t="s">
        <v>1</v>
      </c>
      <c r="E31" s="51" t="s">
        <v>20</v>
      </c>
      <c r="F31" s="51" t="s">
        <v>22</v>
      </c>
      <c r="G31" s="54">
        <v>13</v>
      </c>
      <c r="H31" s="54">
        <f t="shared" si="2"/>
        <v>31000</v>
      </c>
      <c r="I31" s="54">
        <v>33000</v>
      </c>
      <c r="J31" s="47">
        <f t="shared" si="0"/>
        <v>403000</v>
      </c>
    </row>
    <row r="32" spans="1:10" x14ac:dyDescent="0.25">
      <c r="A32" s="52">
        <v>30</v>
      </c>
      <c r="B32" s="53" t="s">
        <v>107</v>
      </c>
      <c r="C32" s="51" t="s">
        <v>73</v>
      </c>
      <c r="D32" s="51" t="s">
        <v>1</v>
      </c>
      <c r="E32" s="51" t="s">
        <v>20</v>
      </c>
      <c r="F32" s="51" t="s">
        <v>22</v>
      </c>
      <c r="G32" s="54">
        <v>17</v>
      </c>
      <c r="H32" s="54">
        <f t="shared" si="2"/>
        <v>25000</v>
      </c>
      <c r="I32" s="54">
        <v>27000</v>
      </c>
      <c r="J32" s="47">
        <f t="shared" si="0"/>
        <v>425000</v>
      </c>
    </row>
    <row r="33" spans="1:10" x14ac:dyDescent="0.25">
      <c r="A33" s="52">
        <v>31</v>
      </c>
      <c r="B33" s="53" t="s">
        <v>108</v>
      </c>
      <c r="C33" s="51" t="s">
        <v>74</v>
      </c>
      <c r="D33" s="51" t="s">
        <v>1</v>
      </c>
      <c r="E33" s="51" t="s">
        <v>20</v>
      </c>
      <c r="F33" s="51" t="s">
        <v>22</v>
      </c>
      <c r="G33" s="54">
        <v>15</v>
      </c>
      <c r="H33" s="54">
        <f t="shared" si="2"/>
        <v>8000</v>
      </c>
      <c r="I33" s="54">
        <v>10000</v>
      </c>
      <c r="J33" s="47">
        <f t="shared" si="0"/>
        <v>120000</v>
      </c>
    </row>
    <row r="34" spans="1:10" x14ac:dyDescent="0.25">
      <c r="A34" s="52">
        <v>32</v>
      </c>
      <c r="B34" s="53" t="s">
        <v>109</v>
      </c>
      <c r="C34" s="51" t="s">
        <v>75</v>
      </c>
      <c r="D34" s="51" t="s">
        <v>1</v>
      </c>
      <c r="E34" s="51" t="s">
        <v>20</v>
      </c>
      <c r="F34" s="51" t="s">
        <v>22</v>
      </c>
      <c r="G34" s="54">
        <v>15</v>
      </c>
      <c r="H34" s="54">
        <f t="shared" si="2"/>
        <v>4000</v>
      </c>
      <c r="I34" s="54">
        <v>6000</v>
      </c>
      <c r="J34" s="47">
        <f t="shared" si="0"/>
        <v>60000</v>
      </c>
    </row>
    <row r="35" spans="1:10" x14ac:dyDescent="0.25">
      <c r="A35" s="52">
        <v>33</v>
      </c>
      <c r="B35" s="53" t="s">
        <v>110</v>
      </c>
      <c r="C35" s="51" t="s">
        <v>77</v>
      </c>
      <c r="D35" s="51" t="s">
        <v>1</v>
      </c>
      <c r="E35" s="51" t="s">
        <v>20</v>
      </c>
      <c r="F35" s="51" t="s">
        <v>22</v>
      </c>
      <c r="G35" s="54">
        <v>13</v>
      </c>
      <c r="H35" s="54">
        <f t="shared" si="2"/>
        <v>10000</v>
      </c>
      <c r="I35" s="54">
        <v>12000</v>
      </c>
      <c r="J35" s="47">
        <f t="shared" si="0"/>
        <v>130000</v>
      </c>
    </row>
    <row r="36" spans="1:10" x14ac:dyDescent="0.25">
      <c r="A36" s="52">
        <v>34</v>
      </c>
      <c r="B36" s="53" t="s">
        <v>111</v>
      </c>
      <c r="C36" s="51" t="s">
        <v>78</v>
      </c>
      <c r="D36" s="51" t="s">
        <v>1</v>
      </c>
      <c r="E36" s="51" t="s">
        <v>20</v>
      </c>
      <c r="F36" s="51" t="s">
        <v>22</v>
      </c>
      <c r="G36" s="54">
        <v>20</v>
      </c>
      <c r="H36" s="54">
        <f t="shared" si="2"/>
        <v>12000</v>
      </c>
      <c r="I36" s="54">
        <v>14000</v>
      </c>
      <c r="J36" s="47">
        <f t="shared" si="0"/>
        <v>240000</v>
      </c>
    </row>
    <row r="37" spans="1:10" x14ac:dyDescent="0.25">
      <c r="A37" s="52">
        <v>35</v>
      </c>
      <c r="B37" s="53" t="s">
        <v>112</v>
      </c>
      <c r="C37" s="51" t="s">
        <v>79</v>
      </c>
      <c r="D37" s="51" t="s">
        <v>1</v>
      </c>
      <c r="E37" s="51" t="s">
        <v>20</v>
      </c>
      <c r="F37" s="51" t="s">
        <v>22</v>
      </c>
      <c r="G37" s="54">
        <v>22</v>
      </c>
      <c r="H37" s="54">
        <f t="shared" si="2"/>
        <v>9000</v>
      </c>
      <c r="I37" s="54">
        <v>11000</v>
      </c>
      <c r="J37" s="47">
        <f t="shared" si="0"/>
        <v>198000</v>
      </c>
    </row>
    <row r="38" spans="1:10" x14ac:dyDescent="0.25">
      <c r="A38" s="52">
        <v>36</v>
      </c>
      <c r="B38" s="53" t="s">
        <v>113</v>
      </c>
      <c r="C38" s="51" t="s">
        <v>80</v>
      </c>
      <c r="D38" s="51" t="s">
        <v>1</v>
      </c>
      <c r="E38" s="51" t="s">
        <v>20</v>
      </c>
      <c r="F38" s="51" t="s">
        <v>22</v>
      </c>
      <c r="G38" s="54">
        <v>23</v>
      </c>
      <c r="H38" s="54">
        <f t="shared" si="2"/>
        <v>10000</v>
      </c>
      <c r="I38" s="54">
        <v>12000</v>
      </c>
      <c r="J38" s="47">
        <f t="shared" si="0"/>
        <v>230000</v>
      </c>
    </row>
    <row r="39" spans="1:10" x14ac:dyDescent="0.25">
      <c r="A39" s="52">
        <v>37</v>
      </c>
      <c r="B39" s="53" t="s">
        <v>114</v>
      </c>
      <c r="C39" s="51" t="s">
        <v>81</v>
      </c>
      <c r="D39" s="51" t="s">
        <v>1</v>
      </c>
      <c r="E39" s="51" t="s">
        <v>20</v>
      </c>
      <c r="F39" s="51" t="s">
        <v>22</v>
      </c>
      <c r="G39" s="54">
        <v>21</v>
      </c>
      <c r="H39" s="54">
        <f t="shared" si="2"/>
        <v>13000</v>
      </c>
      <c r="I39" s="54">
        <v>15000</v>
      </c>
      <c r="J39" s="47">
        <f t="shared" si="0"/>
        <v>273000</v>
      </c>
    </row>
    <row r="40" spans="1:10" x14ac:dyDescent="0.25">
      <c r="A40" s="52">
        <v>38</v>
      </c>
      <c r="B40" s="53" t="s">
        <v>115</v>
      </c>
      <c r="C40" s="51" t="s">
        <v>82</v>
      </c>
      <c r="D40" s="51" t="s">
        <v>1</v>
      </c>
      <c r="E40" s="51" t="s">
        <v>20</v>
      </c>
      <c r="F40" s="51" t="s">
        <v>22</v>
      </c>
      <c r="G40" s="54">
        <v>10</v>
      </c>
      <c r="H40" s="54">
        <f t="shared" si="2"/>
        <v>15000</v>
      </c>
      <c r="I40" s="54">
        <v>17000</v>
      </c>
      <c r="J40" s="47">
        <f t="shared" si="0"/>
        <v>150000</v>
      </c>
    </row>
    <row r="41" spans="1:10" x14ac:dyDescent="0.25">
      <c r="A41" s="52">
        <v>39</v>
      </c>
      <c r="B41" s="53" t="s">
        <v>116</v>
      </c>
      <c r="C41" s="51" t="s">
        <v>83</v>
      </c>
      <c r="D41" s="51" t="s">
        <v>1</v>
      </c>
      <c r="E41" s="51" t="s">
        <v>20</v>
      </c>
      <c r="F41" s="51" t="s">
        <v>22</v>
      </c>
      <c r="G41" s="54">
        <v>10</v>
      </c>
      <c r="H41" s="54">
        <f t="shared" si="2"/>
        <v>8000</v>
      </c>
      <c r="I41" s="54">
        <v>10000</v>
      </c>
      <c r="J41" s="47">
        <f t="shared" si="0"/>
        <v>80000</v>
      </c>
    </row>
    <row r="42" spans="1:10" x14ac:dyDescent="0.25">
      <c r="A42" s="52">
        <v>40</v>
      </c>
      <c r="B42" s="53" t="s">
        <v>117</v>
      </c>
      <c r="C42" s="51" t="s">
        <v>84</v>
      </c>
      <c r="D42" s="51" t="s">
        <v>1</v>
      </c>
      <c r="E42" s="51" t="s">
        <v>20</v>
      </c>
      <c r="F42" s="51" t="s">
        <v>22</v>
      </c>
      <c r="G42" s="54">
        <v>15</v>
      </c>
      <c r="H42" s="54">
        <f t="shared" si="2"/>
        <v>7000</v>
      </c>
      <c r="I42" s="54">
        <v>9000</v>
      </c>
      <c r="J42" s="47">
        <f t="shared" si="0"/>
        <v>105000</v>
      </c>
    </row>
    <row r="43" spans="1:10" x14ac:dyDescent="0.25">
      <c r="A43" s="52">
        <v>41</v>
      </c>
      <c r="B43" s="53" t="s">
        <v>118</v>
      </c>
      <c r="C43" s="51" t="s">
        <v>86</v>
      </c>
      <c r="D43" s="51" t="s">
        <v>1</v>
      </c>
      <c r="E43" s="51" t="s">
        <v>20</v>
      </c>
      <c r="F43" s="51" t="s">
        <v>22</v>
      </c>
      <c r="G43" s="54">
        <v>15</v>
      </c>
      <c r="H43" s="54">
        <f t="shared" si="2"/>
        <v>18000</v>
      </c>
      <c r="I43" s="54">
        <v>20000</v>
      </c>
      <c r="J43" s="47">
        <f t="shared" si="0"/>
        <v>270000</v>
      </c>
    </row>
    <row r="44" spans="1:10" x14ac:dyDescent="0.25">
      <c r="A44" s="52">
        <v>42</v>
      </c>
      <c r="B44" s="53" t="s">
        <v>119</v>
      </c>
      <c r="C44" s="51" t="s">
        <v>87</v>
      </c>
      <c r="D44" s="51" t="s">
        <v>1</v>
      </c>
      <c r="E44" s="51" t="s">
        <v>20</v>
      </c>
      <c r="F44" s="51" t="s">
        <v>22</v>
      </c>
      <c r="G44" s="54">
        <v>12</v>
      </c>
      <c r="H44" s="54">
        <f t="shared" si="2"/>
        <v>26000</v>
      </c>
      <c r="I44" s="54">
        <v>28000</v>
      </c>
      <c r="J44" s="47">
        <f t="shared" si="0"/>
        <v>312000</v>
      </c>
    </row>
    <row r="45" spans="1:10" x14ac:dyDescent="0.25">
      <c r="A45" s="52">
        <v>43</v>
      </c>
      <c r="B45" s="53" t="s">
        <v>120</v>
      </c>
      <c r="C45" s="51" t="s">
        <v>88</v>
      </c>
      <c r="D45" s="51" t="s">
        <v>1</v>
      </c>
      <c r="E45" s="51" t="s">
        <v>20</v>
      </c>
      <c r="F45" s="51" t="s">
        <v>22</v>
      </c>
      <c r="G45" s="54">
        <v>10</v>
      </c>
      <c r="H45" s="54">
        <f t="shared" si="2"/>
        <v>20000</v>
      </c>
      <c r="I45" s="54">
        <v>22000</v>
      </c>
      <c r="J45" s="47">
        <f t="shared" si="0"/>
        <v>200000</v>
      </c>
    </row>
    <row r="46" spans="1:10" x14ac:dyDescent="0.25">
      <c r="A46" s="52">
        <v>44</v>
      </c>
      <c r="B46" s="53" t="s">
        <v>121</v>
      </c>
      <c r="C46" s="51" t="s">
        <v>89</v>
      </c>
      <c r="D46" s="51" t="s">
        <v>1</v>
      </c>
      <c r="E46" s="51" t="s">
        <v>20</v>
      </c>
      <c r="F46" s="51" t="s">
        <v>22</v>
      </c>
      <c r="G46" s="54">
        <v>10</v>
      </c>
      <c r="H46" s="54">
        <f t="shared" si="2"/>
        <v>17000</v>
      </c>
      <c r="I46" s="54">
        <v>19000</v>
      </c>
      <c r="J46" s="47">
        <f t="shared" si="0"/>
        <v>170000</v>
      </c>
    </row>
    <row r="47" spans="1:10" x14ac:dyDescent="0.25">
      <c r="A47" s="52">
        <v>45</v>
      </c>
      <c r="B47" s="53" t="s">
        <v>122</v>
      </c>
      <c r="C47" s="51" t="s">
        <v>90</v>
      </c>
      <c r="D47" s="51" t="s">
        <v>1</v>
      </c>
      <c r="E47" s="51" t="s">
        <v>20</v>
      </c>
      <c r="F47" s="51" t="s">
        <v>22</v>
      </c>
      <c r="G47" s="54">
        <v>10</v>
      </c>
      <c r="H47" s="54">
        <f t="shared" si="2"/>
        <v>31000</v>
      </c>
      <c r="I47" s="54">
        <v>33000</v>
      </c>
      <c r="J47" s="47">
        <f t="shared" si="0"/>
        <v>310000</v>
      </c>
    </row>
    <row r="48" spans="1:10" x14ac:dyDescent="0.25">
      <c r="A48" s="52">
        <v>46</v>
      </c>
      <c r="B48" s="53" t="s">
        <v>123</v>
      </c>
      <c r="C48" s="51" t="s">
        <v>91</v>
      </c>
      <c r="D48" s="51" t="s">
        <v>1</v>
      </c>
      <c r="E48" s="51" t="s">
        <v>20</v>
      </c>
      <c r="F48" s="51" t="s">
        <v>22</v>
      </c>
      <c r="G48" s="52">
        <v>25</v>
      </c>
      <c r="H48" s="54">
        <f t="shared" si="2"/>
        <v>15000</v>
      </c>
      <c r="I48" s="54">
        <v>17000</v>
      </c>
      <c r="J48" s="47">
        <f t="shared" si="0"/>
        <v>375000</v>
      </c>
    </row>
    <row r="49" spans="1:10" x14ac:dyDescent="0.25">
      <c r="A49" s="52">
        <v>47</v>
      </c>
      <c r="B49" s="53" t="s">
        <v>124</v>
      </c>
      <c r="C49" s="51" t="s">
        <v>92</v>
      </c>
      <c r="D49" s="51" t="s">
        <v>1</v>
      </c>
      <c r="E49" s="51" t="s">
        <v>20</v>
      </c>
      <c r="F49" s="51" t="s">
        <v>22</v>
      </c>
      <c r="G49" s="52">
        <v>18</v>
      </c>
      <c r="H49" s="54">
        <f t="shared" si="2"/>
        <v>13000</v>
      </c>
      <c r="I49" s="54">
        <v>15000</v>
      </c>
      <c r="J49" s="47">
        <f t="shared" si="0"/>
        <v>234000</v>
      </c>
    </row>
    <row r="50" spans="1:10" x14ac:dyDescent="0.25">
      <c r="A50" s="52">
        <v>48</v>
      </c>
      <c r="B50" s="53" t="s">
        <v>125</v>
      </c>
      <c r="C50" s="51" t="s">
        <v>93</v>
      </c>
      <c r="D50" s="51" t="s">
        <v>1</v>
      </c>
      <c r="E50" s="51" t="s">
        <v>20</v>
      </c>
      <c r="F50" s="51" t="s">
        <v>22</v>
      </c>
      <c r="G50" s="52">
        <v>20</v>
      </c>
      <c r="H50" s="54">
        <f t="shared" si="2"/>
        <v>18000</v>
      </c>
      <c r="I50" s="54">
        <v>20000</v>
      </c>
      <c r="J50" s="47">
        <f t="shared" si="0"/>
        <v>360000</v>
      </c>
    </row>
    <row r="51" spans="1:10" x14ac:dyDescent="0.25">
      <c r="A51" s="52">
        <v>49</v>
      </c>
      <c r="B51" s="53" t="s">
        <v>126</v>
      </c>
      <c r="C51" s="51" t="s">
        <v>95</v>
      </c>
      <c r="D51" s="51" t="s">
        <v>1</v>
      </c>
      <c r="E51" s="51" t="s">
        <v>20</v>
      </c>
      <c r="F51" s="51" t="s">
        <v>22</v>
      </c>
      <c r="G51" s="52">
        <v>15</v>
      </c>
      <c r="H51" s="54">
        <f t="shared" si="2"/>
        <v>22000</v>
      </c>
      <c r="I51" s="54">
        <v>24000</v>
      </c>
      <c r="J51" s="47">
        <f t="shared" si="0"/>
        <v>330000</v>
      </c>
    </row>
    <row r="52" spans="1:10" x14ac:dyDescent="0.25">
      <c r="A52" s="52">
        <v>50</v>
      </c>
      <c r="B52" s="53" t="s">
        <v>127</v>
      </c>
      <c r="C52" s="51" t="s">
        <v>96</v>
      </c>
      <c r="D52" s="51" t="s">
        <v>1</v>
      </c>
      <c r="E52" s="51" t="s">
        <v>20</v>
      </c>
      <c r="F52" s="51" t="s">
        <v>22</v>
      </c>
      <c r="G52" s="52">
        <v>18</v>
      </c>
      <c r="H52" s="54">
        <f t="shared" si="2"/>
        <v>26000</v>
      </c>
      <c r="I52" s="54">
        <v>28000</v>
      </c>
      <c r="J52" s="47">
        <f t="shared" si="0"/>
        <v>468000</v>
      </c>
    </row>
    <row r="53" spans="1:10" x14ac:dyDescent="0.25">
      <c r="A53" s="52">
        <v>51</v>
      </c>
      <c r="B53" s="53" t="s">
        <v>128</v>
      </c>
      <c r="C53" s="51" t="s">
        <v>97</v>
      </c>
      <c r="D53" s="51" t="s">
        <v>1</v>
      </c>
      <c r="E53" s="51" t="s">
        <v>20</v>
      </c>
      <c r="F53" s="51" t="s">
        <v>22</v>
      </c>
      <c r="G53" s="52">
        <v>12</v>
      </c>
      <c r="H53" s="54">
        <f t="shared" si="2"/>
        <v>28000</v>
      </c>
      <c r="I53" s="54">
        <v>30000</v>
      </c>
      <c r="J53" s="47">
        <f t="shared" si="0"/>
        <v>336000</v>
      </c>
    </row>
    <row r="54" spans="1:10" x14ac:dyDescent="0.25">
      <c r="A54" s="52">
        <v>52</v>
      </c>
      <c r="B54" s="53" t="s">
        <v>129</v>
      </c>
      <c r="C54" s="51" t="s">
        <v>98</v>
      </c>
      <c r="D54" s="51" t="s">
        <v>1</v>
      </c>
      <c r="E54" s="51" t="s">
        <v>20</v>
      </c>
      <c r="F54" s="51" t="s">
        <v>22</v>
      </c>
      <c r="G54" s="52">
        <v>14</v>
      </c>
      <c r="H54" s="54">
        <f t="shared" si="2"/>
        <v>53000</v>
      </c>
      <c r="I54" s="54">
        <v>55000</v>
      </c>
      <c r="J54" s="47">
        <f t="shared" si="0"/>
        <v>742000</v>
      </c>
    </row>
    <row r="55" spans="1:10" x14ac:dyDescent="0.25">
      <c r="A55" s="52">
        <v>53</v>
      </c>
      <c r="B55" s="53" t="s">
        <v>130</v>
      </c>
      <c r="C55" s="51" t="s">
        <v>99</v>
      </c>
      <c r="D55" s="51" t="s">
        <v>1</v>
      </c>
      <c r="E55" s="51" t="s">
        <v>20</v>
      </c>
      <c r="F55" s="51" t="s">
        <v>22</v>
      </c>
      <c r="G55" s="52">
        <v>20</v>
      </c>
      <c r="H55" s="54">
        <f t="shared" si="2"/>
        <v>31000</v>
      </c>
      <c r="I55" s="54">
        <v>33000</v>
      </c>
      <c r="J55" s="47">
        <f t="shared" si="0"/>
        <v>620000</v>
      </c>
    </row>
    <row r="56" spans="1:10" x14ac:dyDescent="0.25">
      <c r="A56" s="52">
        <v>54</v>
      </c>
      <c r="B56" s="53" t="s">
        <v>131</v>
      </c>
      <c r="C56" s="51" t="s">
        <v>100</v>
      </c>
      <c r="D56" s="51" t="s">
        <v>1</v>
      </c>
      <c r="E56" s="51" t="s">
        <v>20</v>
      </c>
      <c r="F56" s="51" t="s">
        <v>22</v>
      </c>
      <c r="G56" s="52">
        <v>22</v>
      </c>
      <c r="H56" s="54">
        <f t="shared" si="2"/>
        <v>25000</v>
      </c>
      <c r="I56" s="54">
        <v>27000</v>
      </c>
      <c r="J56" s="47">
        <f t="shared" si="0"/>
        <v>550000</v>
      </c>
    </row>
    <row r="57" spans="1:10" x14ac:dyDescent="0.25">
      <c r="A57" s="52">
        <v>55</v>
      </c>
      <c r="B57" s="53" t="s">
        <v>132</v>
      </c>
      <c r="C57" s="51" t="s">
        <v>101</v>
      </c>
      <c r="D57" s="51" t="s">
        <v>1</v>
      </c>
      <c r="E57" s="51" t="s">
        <v>20</v>
      </c>
      <c r="F57" s="51" t="s">
        <v>22</v>
      </c>
      <c r="G57" s="52">
        <v>18</v>
      </c>
      <c r="H57" s="54">
        <f t="shared" si="2"/>
        <v>8000</v>
      </c>
      <c r="I57" s="54">
        <v>10000</v>
      </c>
      <c r="J57" s="47">
        <f t="shared" si="0"/>
        <v>144000</v>
      </c>
    </row>
    <row r="58" spans="1:10" x14ac:dyDescent="0.25">
      <c r="A58" s="52">
        <v>56</v>
      </c>
      <c r="B58" s="53" t="s">
        <v>133</v>
      </c>
      <c r="C58" s="51" t="s">
        <v>102</v>
      </c>
      <c r="D58" s="51" t="s">
        <v>1</v>
      </c>
      <c r="E58" s="51" t="s">
        <v>20</v>
      </c>
      <c r="F58" s="51" t="s">
        <v>22</v>
      </c>
      <c r="G58" s="52">
        <v>14</v>
      </c>
      <c r="H58" s="54">
        <f t="shared" si="2"/>
        <v>4000</v>
      </c>
      <c r="I58" s="54">
        <v>6000</v>
      </c>
      <c r="J58" s="47">
        <f t="shared" si="0"/>
        <v>56000</v>
      </c>
    </row>
    <row r="59" spans="1:10" x14ac:dyDescent="0.25">
      <c r="A59" s="52">
        <v>57</v>
      </c>
      <c r="B59" s="53" t="s">
        <v>172</v>
      </c>
      <c r="C59" s="51" t="s">
        <v>138</v>
      </c>
      <c r="D59" s="51" t="s">
        <v>134</v>
      </c>
      <c r="E59" s="51" t="s">
        <v>21</v>
      </c>
      <c r="F59" s="55" t="s">
        <v>23</v>
      </c>
      <c r="G59" s="52">
        <v>12</v>
      </c>
      <c r="H59" s="54">
        <f>I59-2000</f>
        <v>20000</v>
      </c>
      <c r="I59" s="54">
        <v>22000</v>
      </c>
      <c r="J59" s="47">
        <f t="shared" si="0"/>
        <v>240000</v>
      </c>
    </row>
    <row r="60" spans="1:10" x14ac:dyDescent="0.25">
      <c r="A60" s="52">
        <v>58</v>
      </c>
      <c r="B60" s="53" t="s">
        <v>173</v>
      </c>
      <c r="C60" s="51" t="s">
        <v>139</v>
      </c>
      <c r="D60" s="51" t="s">
        <v>134</v>
      </c>
      <c r="E60" s="51" t="s">
        <v>21</v>
      </c>
      <c r="F60" s="55" t="s">
        <v>23</v>
      </c>
      <c r="G60" s="52">
        <v>10</v>
      </c>
      <c r="H60" s="54">
        <f t="shared" ref="H60:H82" si="3">I60-2000</f>
        <v>16000</v>
      </c>
      <c r="I60" s="54">
        <v>18000</v>
      </c>
      <c r="J60" s="47">
        <f t="shared" si="0"/>
        <v>160000</v>
      </c>
    </row>
    <row r="61" spans="1:10" x14ac:dyDescent="0.25">
      <c r="A61" s="52">
        <v>59</v>
      </c>
      <c r="B61" s="53" t="s">
        <v>174</v>
      </c>
      <c r="C61" s="51" t="s">
        <v>140</v>
      </c>
      <c r="D61" s="51" t="s">
        <v>134</v>
      </c>
      <c r="E61" s="51" t="s">
        <v>21</v>
      </c>
      <c r="F61" s="55" t="s">
        <v>23</v>
      </c>
      <c r="G61" s="52">
        <v>15</v>
      </c>
      <c r="H61" s="54">
        <f t="shared" si="3"/>
        <v>13000</v>
      </c>
      <c r="I61" s="54">
        <v>15000</v>
      </c>
      <c r="J61" s="47">
        <f t="shared" si="0"/>
        <v>195000</v>
      </c>
    </row>
    <row r="62" spans="1:10" x14ac:dyDescent="0.25">
      <c r="A62" s="52">
        <v>60</v>
      </c>
      <c r="B62" s="53" t="s">
        <v>175</v>
      </c>
      <c r="C62" s="51" t="s">
        <v>141</v>
      </c>
      <c r="D62" s="51" t="s">
        <v>134</v>
      </c>
      <c r="E62" s="51" t="s">
        <v>21</v>
      </c>
      <c r="F62" s="55" t="s">
        <v>23</v>
      </c>
      <c r="G62" s="52">
        <v>12</v>
      </c>
      <c r="H62" s="54">
        <f t="shared" si="3"/>
        <v>19000</v>
      </c>
      <c r="I62" s="54">
        <v>21000</v>
      </c>
      <c r="J62" s="47">
        <f t="shared" si="0"/>
        <v>228000</v>
      </c>
    </row>
    <row r="63" spans="1:10" x14ac:dyDescent="0.25">
      <c r="A63" s="52">
        <v>61</v>
      </c>
      <c r="B63" s="53" t="s">
        <v>176</v>
      </c>
      <c r="C63" s="51" t="s">
        <v>142</v>
      </c>
      <c r="D63" s="51" t="s">
        <v>134</v>
      </c>
      <c r="E63" s="51" t="s">
        <v>21</v>
      </c>
      <c r="F63" s="55" t="s">
        <v>23</v>
      </c>
      <c r="G63" s="52">
        <v>10</v>
      </c>
      <c r="H63" s="54">
        <f t="shared" si="3"/>
        <v>22000</v>
      </c>
      <c r="I63" s="54">
        <v>24000</v>
      </c>
      <c r="J63" s="47">
        <f t="shared" si="0"/>
        <v>220000</v>
      </c>
    </row>
    <row r="64" spans="1:10" x14ac:dyDescent="0.25">
      <c r="A64" s="52">
        <v>62</v>
      </c>
      <c r="B64" s="53" t="s">
        <v>177</v>
      </c>
      <c r="C64" s="51" t="s">
        <v>143</v>
      </c>
      <c r="D64" s="51" t="s">
        <v>134</v>
      </c>
      <c r="E64" s="51" t="s">
        <v>21</v>
      </c>
      <c r="F64" s="55" t="s">
        <v>23</v>
      </c>
      <c r="G64" s="52">
        <v>18</v>
      </c>
      <c r="H64" s="54">
        <f t="shared" si="3"/>
        <v>25000</v>
      </c>
      <c r="I64" s="54">
        <v>27000</v>
      </c>
      <c r="J64" s="47">
        <f t="shared" si="0"/>
        <v>450000</v>
      </c>
    </row>
    <row r="65" spans="1:10" x14ac:dyDescent="0.25">
      <c r="A65" s="52">
        <v>63</v>
      </c>
      <c r="B65" s="53" t="s">
        <v>178</v>
      </c>
      <c r="C65" s="51" t="s">
        <v>144</v>
      </c>
      <c r="D65" s="51" t="s">
        <v>134</v>
      </c>
      <c r="E65" s="51" t="s">
        <v>21</v>
      </c>
      <c r="F65" s="55" t="s">
        <v>23</v>
      </c>
      <c r="G65" s="52">
        <v>12</v>
      </c>
      <c r="H65" s="54">
        <f t="shared" si="3"/>
        <v>17000</v>
      </c>
      <c r="I65" s="54">
        <v>19000</v>
      </c>
      <c r="J65" s="47">
        <f t="shared" si="0"/>
        <v>204000</v>
      </c>
    </row>
    <row r="66" spans="1:10" x14ac:dyDescent="0.25">
      <c r="A66" s="52">
        <v>64</v>
      </c>
      <c r="B66" s="53" t="s">
        <v>179</v>
      </c>
      <c r="C66" s="51" t="s">
        <v>145</v>
      </c>
      <c r="D66" s="51" t="s">
        <v>134</v>
      </c>
      <c r="E66" s="51" t="s">
        <v>21</v>
      </c>
      <c r="F66" s="55" t="s">
        <v>23</v>
      </c>
      <c r="G66" s="52">
        <v>20</v>
      </c>
      <c r="H66" s="54">
        <f t="shared" si="3"/>
        <v>14000</v>
      </c>
      <c r="I66" s="54">
        <v>16000</v>
      </c>
      <c r="J66" s="47">
        <f t="shared" si="0"/>
        <v>280000</v>
      </c>
    </row>
    <row r="67" spans="1:10" x14ac:dyDescent="0.25">
      <c r="A67" s="52">
        <v>65</v>
      </c>
      <c r="B67" s="53" t="s">
        <v>180</v>
      </c>
      <c r="C67" s="51" t="s">
        <v>146</v>
      </c>
      <c r="D67" s="51" t="s">
        <v>134</v>
      </c>
      <c r="E67" s="51" t="s">
        <v>21</v>
      </c>
      <c r="F67" s="55" t="s">
        <v>23</v>
      </c>
      <c r="G67" s="52">
        <v>22</v>
      </c>
      <c r="H67" s="54">
        <f t="shared" si="3"/>
        <v>18000</v>
      </c>
      <c r="I67" s="54">
        <v>20000</v>
      </c>
      <c r="J67" s="47">
        <f t="shared" si="0"/>
        <v>396000</v>
      </c>
    </row>
    <row r="68" spans="1:10" x14ac:dyDescent="0.25">
      <c r="A68" s="52">
        <v>66</v>
      </c>
      <c r="B68" s="53" t="s">
        <v>181</v>
      </c>
      <c r="C68" s="51" t="s">
        <v>147</v>
      </c>
      <c r="D68" s="51" t="s">
        <v>134</v>
      </c>
      <c r="E68" s="51" t="s">
        <v>21</v>
      </c>
      <c r="F68" s="55" t="s">
        <v>23</v>
      </c>
      <c r="G68" s="52">
        <v>23</v>
      </c>
      <c r="H68" s="54">
        <f t="shared" si="3"/>
        <v>14000</v>
      </c>
      <c r="I68" s="54">
        <v>16000</v>
      </c>
      <c r="J68" s="47">
        <f t="shared" ref="J68:J131" si="4">G68*H68</f>
        <v>322000</v>
      </c>
    </row>
    <row r="69" spans="1:10" x14ac:dyDescent="0.25">
      <c r="A69" s="52">
        <v>67</v>
      </c>
      <c r="B69" s="53" t="s">
        <v>182</v>
      </c>
      <c r="C69" s="51" t="s">
        <v>148</v>
      </c>
      <c r="D69" s="51" t="s">
        <v>134</v>
      </c>
      <c r="E69" s="51" t="s">
        <v>21</v>
      </c>
      <c r="F69" s="55" t="s">
        <v>23</v>
      </c>
      <c r="G69" s="52">
        <v>21</v>
      </c>
      <c r="H69" s="54">
        <f t="shared" si="3"/>
        <v>12500</v>
      </c>
      <c r="I69" s="54">
        <v>14500</v>
      </c>
      <c r="J69" s="47">
        <f t="shared" si="4"/>
        <v>262500</v>
      </c>
    </row>
    <row r="70" spans="1:10" x14ac:dyDescent="0.25">
      <c r="A70" s="52">
        <v>68</v>
      </c>
      <c r="B70" s="53" t="s">
        <v>183</v>
      </c>
      <c r="C70" s="51" t="s">
        <v>149</v>
      </c>
      <c r="D70" s="51" t="s">
        <v>134</v>
      </c>
      <c r="E70" s="51" t="s">
        <v>21</v>
      </c>
      <c r="F70" s="55" t="s">
        <v>23</v>
      </c>
      <c r="G70" s="52">
        <v>20</v>
      </c>
      <c r="H70" s="54">
        <f t="shared" si="3"/>
        <v>11999</v>
      </c>
      <c r="I70" s="54">
        <v>13999</v>
      </c>
      <c r="J70" s="47">
        <f t="shared" si="4"/>
        <v>239980</v>
      </c>
    </row>
    <row r="71" spans="1:10" x14ac:dyDescent="0.25">
      <c r="A71" s="52">
        <v>69</v>
      </c>
      <c r="B71" s="53" t="s">
        <v>184</v>
      </c>
      <c r="C71" s="51" t="s">
        <v>150</v>
      </c>
      <c r="D71" s="51" t="s">
        <v>134</v>
      </c>
      <c r="E71" s="51" t="s">
        <v>21</v>
      </c>
      <c r="F71" s="55" t="s">
        <v>23</v>
      </c>
      <c r="G71" s="52">
        <v>14</v>
      </c>
      <c r="H71" s="54">
        <f t="shared" si="3"/>
        <v>21000</v>
      </c>
      <c r="I71" s="54">
        <v>23000</v>
      </c>
      <c r="J71" s="47">
        <f t="shared" si="4"/>
        <v>294000</v>
      </c>
    </row>
    <row r="72" spans="1:10" x14ac:dyDescent="0.25">
      <c r="A72" s="52">
        <v>70</v>
      </c>
      <c r="B72" s="53" t="s">
        <v>185</v>
      </c>
      <c r="C72" s="51" t="s">
        <v>151</v>
      </c>
      <c r="D72" s="51" t="s">
        <v>134</v>
      </c>
      <c r="E72" s="51" t="s">
        <v>21</v>
      </c>
      <c r="F72" s="55" t="s">
        <v>23</v>
      </c>
      <c r="G72" s="52">
        <v>25</v>
      </c>
      <c r="H72" s="54">
        <f t="shared" si="3"/>
        <v>16500</v>
      </c>
      <c r="I72" s="54">
        <v>18500</v>
      </c>
      <c r="J72" s="47">
        <f t="shared" si="4"/>
        <v>412500</v>
      </c>
    </row>
    <row r="73" spans="1:10" x14ac:dyDescent="0.25">
      <c r="A73" s="52">
        <v>71</v>
      </c>
      <c r="B73" s="53" t="s">
        <v>186</v>
      </c>
      <c r="C73" s="51" t="s">
        <v>152</v>
      </c>
      <c r="D73" s="51" t="s">
        <v>134</v>
      </c>
      <c r="E73" s="51" t="s">
        <v>21</v>
      </c>
      <c r="F73" s="55" t="s">
        <v>23</v>
      </c>
      <c r="G73" s="52">
        <v>18</v>
      </c>
      <c r="H73" s="54">
        <f t="shared" si="3"/>
        <v>23000</v>
      </c>
      <c r="I73" s="54">
        <v>25000</v>
      </c>
      <c r="J73" s="47">
        <f t="shared" si="4"/>
        <v>414000</v>
      </c>
    </row>
    <row r="74" spans="1:10" x14ac:dyDescent="0.25">
      <c r="A74" s="52">
        <v>72</v>
      </c>
      <c r="B74" s="53" t="s">
        <v>187</v>
      </c>
      <c r="C74" s="51" t="s">
        <v>153</v>
      </c>
      <c r="D74" s="51" t="s">
        <v>134</v>
      </c>
      <c r="E74" s="51" t="s">
        <v>21</v>
      </c>
      <c r="F74" s="55" t="s">
        <v>23</v>
      </c>
      <c r="G74" s="52">
        <v>20</v>
      </c>
      <c r="H74" s="54">
        <f t="shared" si="3"/>
        <v>17000</v>
      </c>
      <c r="I74" s="54">
        <v>19000</v>
      </c>
      <c r="J74" s="47">
        <f t="shared" si="4"/>
        <v>340000</v>
      </c>
    </row>
    <row r="75" spans="1:10" x14ac:dyDescent="0.25">
      <c r="A75" s="52">
        <v>73</v>
      </c>
      <c r="B75" s="53" t="s">
        <v>188</v>
      </c>
      <c r="C75" s="51" t="s">
        <v>154</v>
      </c>
      <c r="D75" s="51" t="s">
        <v>134</v>
      </c>
      <c r="E75" s="51" t="s">
        <v>21</v>
      </c>
      <c r="F75" s="55" t="s">
        <v>23</v>
      </c>
      <c r="G75" s="52">
        <v>15</v>
      </c>
      <c r="H75" s="54">
        <f t="shared" si="3"/>
        <v>18000</v>
      </c>
      <c r="I75" s="54">
        <v>20000</v>
      </c>
      <c r="J75" s="47">
        <f t="shared" si="4"/>
        <v>270000</v>
      </c>
    </row>
    <row r="76" spans="1:10" x14ac:dyDescent="0.25">
      <c r="A76" s="52">
        <v>74</v>
      </c>
      <c r="B76" s="53" t="s">
        <v>189</v>
      </c>
      <c r="C76" s="51" t="s">
        <v>155</v>
      </c>
      <c r="D76" s="51" t="s">
        <v>134</v>
      </c>
      <c r="E76" s="51" t="s">
        <v>21</v>
      </c>
      <c r="F76" s="55" t="s">
        <v>23</v>
      </c>
      <c r="G76" s="52">
        <v>18</v>
      </c>
      <c r="H76" s="54">
        <f t="shared" si="3"/>
        <v>14000</v>
      </c>
      <c r="I76" s="54">
        <v>16000</v>
      </c>
      <c r="J76" s="47">
        <f t="shared" si="4"/>
        <v>252000</v>
      </c>
    </row>
    <row r="77" spans="1:10" x14ac:dyDescent="0.25">
      <c r="A77" s="52">
        <v>75</v>
      </c>
      <c r="B77" s="53" t="s">
        <v>190</v>
      </c>
      <c r="C77" s="51" t="s">
        <v>156</v>
      </c>
      <c r="D77" s="51" t="s">
        <v>134</v>
      </c>
      <c r="E77" s="51" t="s">
        <v>21</v>
      </c>
      <c r="F77" s="55" t="s">
        <v>23</v>
      </c>
      <c r="G77" s="52">
        <v>12</v>
      </c>
      <c r="H77" s="54">
        <f t="shared" si="3"/>
        <v>12500</v>
      </c>
      <c r="I77" s="54">
        <v>14500</v>
      </c>
      <c r="J77" s="47">
        <f t="shared" si="4"/>
        <v>150000</v>
      </c>
    </row>
    <row r="78" spans="1:10" x14ac:dyDescent="0.25">
      <c r="A78" s="52">
        <v>76</v>
      </c>
      <c r="B78" s="53" t="s">
        <v>191</v>
      </c>
      <c r="C78" s="51" t="s">
        <v>157</v>
      </c>
      <c r="D78" s="51" t="s">
        <v>134</v>
      </c>
      <c r="E78" s="51" t="s">
        <v>21</v>
      </c>
      <c r="F78" s="55" t="s">
        <v>23</v>
      </c>
      <c r="G78" s="52">
        <v>14</v>
      </c>
      <c r="H78" s="54">
        <f t="shared" si="3"/>
        <v>11999</v>
      </c>
      <c r="I78" s="54">
        <v>13999</v>
      </c>
      <c r="J78" s="47">
        <f t="shared" si="4"/>
        <v>167986</v>
      </c>
    </row>
    <row r="79" spans="1:10" x14ac:dyDescent="0.25">
      <c r="A79" s="52">
        <v>77</v>
      </c>
      <c r="B79" s="53" t="s">
        <v>192</v>
      </c>
      <c r="C79" s="51" t="s">
        <v>158</v>
      </c>
      <c r="D79" s="51" t="s">
        <v>134</v>
      </c>
      <c r="E79" s="51" t="s">
        <v>21</v>
      </c>
      <c r="F79" s="55" t="s">
        <v>23</v>
      </c>
      <c r="G79" s="52">
        <v>20</v>
      </c>
      <c r="H79" s="54">
        <f t="shared" si="3"/>
        <v>21000</v>
      </c>
      <c r="I79" s="54">
        <v>23000</v>
      </c>
      <c r="J79" s="47">
        <f t="shared" si="4"/>
        <v>420000</v>
      </c>
    </row>
    <row r="80" spans="1:10" x14ac:dyDescent="0.25">
      <c r="A80" s="52">
        <v>78</v>
      </c>
      <c r="B80" s="53" t="s">
        <v>193</v>
      </c>
      <c r="C80" s="51" t="s">
        <v>159</v>
      </c>
      <c r="D80" s="51" t="s">
        <v>134</v>
      </c>
      <c r="E80" s="51" t="s">
        <v>21</v>
      </c>
      <c r="F80" s="55" t="s">
        <v>23</v>
      </c>
      <c r="G80" s="52">
        <v>22</v>
      </c>
      <c r="H80" s="54">
        <f t="shared" si="3"/>
        <v>16500</v>
      </c>
      <c r="I80" s="54">
        <v>18500</v>
      </c>
      <c r="J80" s="47">
        <f t="shared" si="4"/>
        <v>363000</v>
      </c>
    </row>
    <row r="81" spans="1:10" x14ac:dyDescent="0.25">
      <c r="A81" s="52">
        <v>79</v>
      </c>
      <c r="B81" s="53" t="s">
        <v>194</v>
      </c>
      <c r="C81" s="51" t="s">
        <v>160</v>
      </c>
      <c r="D81" s="51" t="s">
        <v>134</v>
      </c>
      <c r="E81" s="51" t="s">
        <v>21</v>
      </c>
      <c r="F81" s="55" t="s">
        <v>23</v>
      </c>
      <c r="G81" s="52">
        <v>18</v>
      </c>
      <c r="H81" s="54">
        <f t="shared" si="3"/>
        <v>23000</v>
      </c>
      <c r="I81" s="54">
        <v>25000</v>
      </c>
      <c r="J81" s="47">
        <f t="shared" si="4"/>
        <v>414000</v>
      </c>
    </row>
    <row r="82" spans="1:10" x14ac:dyDescent="0.25">
      <c r="A82" s="52">
        <v>80</v>
      </c>
      <c r="B82" s="53" t="s">
        <v>195</v>
      </c>
      <c r="C82" s="51" t="s">
        <v>161</v>
      </c>
      <c r="D82" s="51" t="s">
        <v>134</v>
      </c>
      <c r="E82" s="51" t="s">
        <v>21</v>
      </c>
      <c r="F82" s="55" t="s">
        <v>23</v>
      </c>
      <c r="G82" s="52">
        <v>14</v>
      </c>
      <c r="H82" s="54">
        <f t="shared" si="3"/>
        <v>17000</v>
      </c>
      <c r="I82" s="54">
        <v>19000</v>
      </c>
      <c r="J82" s="47">
        <f t="shared" si="4"/>
        <v>238000</v>
      </c>
    </row>
    <row r="83" spans="1:10" x14ac:dyDescent="0.25">
      <c r="A83" s="52">
        <v>81</v>
      </c>
      <c r="B83" s="53" t="s">
        <v>196</v>
      </c>
      <c r="C83" s="51" t="s">
        <v>162</v>
      </c>
      <c r="D83" s="51" t="s">
        <v>134</v>
      </c>
      <c r="E83" s="51" t="s">
        <v>21</v>
      </c>
      <c r="F83" s="55" t="s">
        <v>23</v>
      </c>
      <c r="G83" s="52">
        <v>12</v>
      </c>
      <c r="H83" s="54">
        <f>I83-300</f>
        <v>2700</v>
      </c>
      <c r="I83" s="54">
        <v>3000</v>
      </c>
      <c r="J83" s="47">
        <f t="shared" si="4"/>
        <v>32400</v>
      </c>
    </row>
    <row r="84" spans="1:10" x14ac:dyDescent="0.25">
      <c r="A84" s="52">
        <v>82</v>
      </c>
      <c r="B84" s="53" t="s">
        <v>197</v>
      </c>
      <c r="C84" s="51" t="s">
        <v>163</v>
      </c>
      <c r="D84" s="51" t="s">
        <v>134</v>
      </c>
      <c r="E84" s="51" t="s">
        <v>21</v>
      </c>
      <c r="F84" s="55" t="s">
        <v>23</v>
      </c>
      <c r="G84" s="52">
        <v>10</v>
      </c>
      <c r="H84" s="54">
        <f t="shared" ref="H84:H90" si="5">I84-300</f>
        <v>4700</v>
      </c>
      <c r="I84" s="54">
        <v>5000</v>
      </c>
      <c r="J84" s="47">
        <f t="shared" si="4"/>
        <v>47000</v>
      </c>
    </row>
    <row r="85" spans="1:10" x14ac:dyDescent="0.25">
      <c r="A85" s="52">
        <v>83</v>
      </c>
      <c r="B85" s="53" t="s">
        <v>198</v>
      </c>
      <c r="C85" s="51" t="s">
        <v>164</v>
      </c>
      <c r="D85" s="51" t="s">
        <v>134</v>
      </c>
      <c r="E85" s="51" t="s">
        <v>21</v>
      </c>
      <c r="F85" s="55" t="s">
        <v>23</v>
      </c>
      <c r="G85" s="52">
        <v>15</v>
      </c>
      <c r="H85" s="54">
        <f t="shared" si="5"/>
        <v>3700</v>
      </c>
      <c r="I85" s="54">
        <v>4000</v>
      </c>
      <c r="J85" s="47">
        <f t="shared" si="4"/>
        <v>55500</v>
      </c>
    </row>
    <row r="86" spans="1:10" x14ac:dyDescent="0.25">
      <c r="A86" s="52">
        <v>84</v>
      </c>
      <c r="B86" s="53" t="s">
        <v>199</v>
      </c>
      <c r="C86" s="51" t="s">
        <v>165</v>
      </c>
      <c r="D86" s="51" t="s">
        <v>134</v>
      </c>
      <c r="E86" s="51" t="s">
        <v>21</v>
      </c>
      <c r="F86" s="55" t="s">
        <v>23</v>
      </c>
      <c r="G86" s="52">
        <v>12</v>
      </c>
      <c r="H86" s="54">
        <f t="shared" si="5"/>
        <v>5700</v>
      </c>
      <c r="I86" s="54">
        <v>6000</v>
      </c>
      <c r="J86" s="47">
        <f t="shared" si="4"/>
        <v>68400</v>
      </c>
    </row>
    <row r="87" spans="1:10" x14ac:dyDescent="0.25">
      <c r="A87" s="52">
        <v>85</v>
      </c>
      <c r="B87" s="53" t="s">
        <v>200</v>
      </c>
      <c r="C87" s="51" t="s">
        <v>166</v>
      </c>
      <c r="D87" s="51" t="s">
        <v>134</v>
      </c>
      <c r="E87" s="51" t="s">
        <v>21</v>
      </c>
      <c r="F87" s="55" t="s">
        <v>23</v>
      </c>
      <c r="G87" s="52">
        <v>10</v>
      </c>
      <c r="H87" s="54">
        <f t="shared" si="5"/>
        <v>5700</v>
      </c>
      <c r="I87" s="54">
        <v>6000</v>
      </c>
      <c r="J87" s="47">
        <f t="shared" si="4"/>
        <v>57000</v>
      </c>
    </row>
    <row r="88" spans="1:10" x14ac:dyDescent="0.25">
      <c r="A88" s="52">
        <v>86</v>
      </c>
      <c r="B88" s="53" t="s">
        <v>201</v>
      </c>
      <c r="C88" s="51" t="s">
        <v>167</v>
      </c>
      <c r="D88" s="51" t="s">
        <v>134</v>
      </c>
      <c r="E88" s="51" t="s">
        <v>21</v>
      </c>
      <c r="F88" s="55" t="s">
        <v>23</v>
      </c>
      <c r="G88" s="52">
        <v>18</v>
      </c>
      <c r="H88" s="54">
        <f t="shared" si="5"/>
        <v>5700</v>
      </c>
      <c r="I88" s="54">
        <v>6000</v>
      </c>
      <c r="J88" s="47">
        <f t="shared" si="4"/>
        <v>102600</v>
      </c>
    </row>
    <row r="89" spans="1:10" x14ac:dyDescent="0.25">
      <c r="A89" s="52">
        <v>87</v>
      </c>
      <c r="B89" s="53" t="s">
        <v>202</v>
      </c>
      <c r="C89" s="51" t="s">
        <v>168</v>
      </c>
      <c r="D89" s="51" t="s">
        <v>134</v>
      </c>
      <c r="E89" s="51" t="s">
        <v>21</v>
      </c>
      <c r="F89" s="55" t="s">
        <v>23</v>
      </c>
      <c r="G89" s="52">
        <v>12</v>
      </c>
      <c r="H89" s="54">
        <f t="shared" si="5"/>
        <v>6700</v>
      </c>
      <c r="I89" s="54">
        <v>7000</v>
      </c>
      <c r="J89" s="47">
        <f t="shared" si="4"/>
        <v>80400</v>
      </c>
    </row>
    <row r="90" spans="1:10" x14ac:dyDescent="0.25">
      <c r="A90" s="52">
        <v>88</v>
      </c>
      <c r="B90" s="53" t="s">
        <v>203</v>
      </c>
      <c r="C90" s="51" t="s">
        <v>169</v>
      </c>
      <c r="D90" s="51" t="s">
        <v>134</v>
      </c>
      <c r="E90" s="51" t="s">
        <v>21</v>
      </c>
      <c r="F90" s="55" t="s">
        <v>23</v>
      </c>
      <c r="G90" s="52">
        <v>20</v>
      </c>
      <c r="H90" s="54">
        <f t="shared" si="5"/>
        <v>5700</v>
      </c>
      <c r="I90" s="54">
        <v>6000</v>
      </c>
      <c r="J90" s="47">
        <f t="shared" si="4"/>
        <v>114000</v>
      </c>
    </row>
    <row r="91" spans="1:10" x14ac:dyDescent="0.25">
      <c r="A91" s="52">
        <v>89</v>
      </c>
      <c r="B91" s="53" t="s">
        <v>204</v>
      </c>
      <c r="C91" s="51" t="s">
        <v>212</v>
      </c>
      <c r="D91" s="51" t="s">
        <v>170</v>
      </c>
      <c r="E91" s="51" t="s">
        <v>220</v>
      </c>
      <c r="F91" s="51" t="s">
        <v>221</v>
      </c>
      <c r="G91" s="52">
        <v>22</v>
      </c>
      <c r="H91" s="54">
        <f>I91-500</f>
        <v>6000</v>
      </c>
      <c r="I91" s="54">
        <v>6500</v>
      </c>
      <c r="J91" s="47">
        <f t="shared" si="4"/>
        <v>132000</v>
      </c>
    </row>
    <row r="92" spans="1:10" x14ac:dyDescent="0.25">
      <c r="A92" s="52">
        <v>90</v>
      </c>
      <c r="B92" s="53" t="s">
        <v>205</v>
      </c>
      <c r="C92" s="51" t="s">
        <v>213</v>
      </c>
      <c r="D92" s="51" t="s">
        <v>170</v>
      </c>
      <c r="E92" s="51" t="s">
        <v>220</v>
      </c>
      <c r="F92" s="51" t="s">
        <v>221</v>
      </c>
      <c r="G92" s="52">
        <v>23</v>
      </c>
      <c r="H92" s="54">
        <f t="shared" ref="H92:H114" si="6">I92-500</f>
        <v>6700</v>
      </c>
      <c r="I92" s="54">
        <v>7200</v>
      </c>
      <c r="J92" s="47">
        <f t="shared" si="4"/>
        <v>154100</v>
      </c>
    </row>
    <row r="93" spans="1:10" x14ac:dyDescent="0.25">
      <c r="A93" s="52">
        <v>91</v>
      </c>
      <c r="B93" s="53" t="s">
        <v>206</v>
      </c>
      <c r="C93" s="51" t="s">
        <v>214</v>
      </c>
      <c r="D93" s="51" t="s">
        <v>170</v>
      </c>
      <c r="E93" s="51" t="s">
        <v>220</v>
      </c>
      <c r="F93" s="51" t="s">
        <v>221</v>
      </c>
      <c r="G93" s="52">
        <v>21</v>
      </c>
      <c r="H93" s="54">
        <f t="shared" si="6"/>
        <v>5400</v>
      </c>
      <c r="I93" s="54">
        <v>5900</v>
      </c>
      <c r="J93" s="47">
        <f t="shared" si="4"/>
        <v>113400</v>
      </c>
    </row>
    <row r="94" spans="1:10" x14ac:dyDescent="0.25">
      <c r="A94" s="52">
        <v>92</v>
      </c>
      <c r="B94" s="53" t="s">
        <v>207</v>
      </c>
      <c r="C94" s="51" t="s">
        <v>215</v>
      </c>
      <c r="D94" s="51" t="s">
        <v>170</v>
      </c>
      <c r="E94" s="51" t="s">
        <v>220</v>
      </c>
      <c r="F94" s="51" t="s">
        <v>221</v>
      </c>
      <c r="G94" s="52">
        <v>20</v>
      </c>
      <c r="H94" s="54">
        <f t="shared" si="6"/>
        <v>6300</v>
      </c>
      <c r="I94" s="54">
        <v>6800</v>
      </c>
      <c r="J94" s="47">
        <f t="shared" si="4"/>
        <v>126000</v>
      </c>
    </row>
    <row r="95" spans="1:10" x14ac:dyDescent="0.25">
      <c r="A95" s="52">
        <v>93</v>
      </c>
      <c r="B95" s="53" t="s">
        <v>208</v>
      </c>
      <c r="C95" s="51" t="s">
        <v>216</v>
      </c>
      <c r="D95" s="51" t="s">
        <v>170</v>
      </c>
      <c r="E95" s="51" t="s">
        <v>220</v>
      </c>
      <c r="F95" s="51" t="s">
        <v>221</v>
      </c>
      <c r="G95" s="52">
        <v>14</v>
      </c>
      <c r="H95" s="54">
        <f t="shared" si="6"/>
        <v>7300</v>
      </c>
      <c r="I95" s="54">
        <v>7800</v>
      </c>
      <c r="J95" s="47">
        <f t="shared" si="4"/>
        <v>102200</v>
      </c>
    </row>
    <row r="96" spans="1:10" x14ac:dyDescent="0.25">
      <c r="A96" s="52">
        <v>94</v>
      </c>
      <c r="B96" s="53" t="s">
        <v>209</v>
      </c>
      <c r="C96" s="51" t="s">
        <v>217</v>
      </c>
      <c r="D96" s="51" t="s">
        <v>170</v>
      </c>
      <c r="E96" s="51" t="s">
        <v>220</v>
      </c>
      <c r="F96" s="51" t="s">
        <v>221</v>
      </c>
      <c r="G96" s="52">
        <v>25</v>
      </c>
      <c r="H96" s="54">
        <f t="shared" si="6"/>
        <v>4700</v>
      </c>
      <c r="I96" s="54">
        <v>5200</v>
      </c>
      <c r="J96" s="47">
        <f t="shared" si="4"/>
        <v>117500</v>
      </c>
    </row>
    <row r="97" spans="1:10" x14ac:dyDescent="0.25">
      <c r="A97" s="52">
        <v>95</v>
      </c>
      <c r="B97" s="53" t="s">
        <v>210</v>
      </c>
      <c r="C97" s="51" t="s">
        <v>218</v>
      </c>
      <c r="D97" s="51" t="s">
        <v>170</v>
      </c>
      <c r="E97" s="51" t="s">
        <v>220</v>
      </c>
      <c r="F97" s="51" t="s">
        <v>221</v>
      </c>
      <c r="G97" s="52">
        <v>18</v>
      </c>
      <c r="H97" s="54">
        <f t="shared" si="6"/>
        <v>6500</v>
      </c>
      <c r="I97" s="54">
        <v>7000</v>
      </c>
      <c r="J97" s="47">
        <f t="shared" si="4"/>
        <v>117000</v>
      </c>
    </row>
    <row r="98" spans="1:10" x14ac:dyDescent="0.25">
      <c r="A98" s="52">
        <v>96</v>
      </c>
      <c r="B98" s="53" t="s">
        <v>211</v>
      </c>
      <c r="C98" s="51" t="s">
        <v>219</v>
      </c>
      <c r="D98" s="51" t="s">
        <v>170</v>
      </c>
      <c r="E98" s="51" t="s">
        <v>220</v>
      </c>
      <c r="F98" s="51" t="s">
        <v>221</v>
      </c>
      <c r="G98" s="52">
        <v>20</v>
      </c>
      <c r="H98" s="54">
        <f t="shared" si="6"/>
        <v>6000</v>
      </c>
      <c r="I98" s="54">
        <v>6500</v>
      </c>
      <c r="J98" s="47">
        <f t="shared" si="4"/>
        <v>120000</v>
      </c>
    </row>
    <row r="99" spans="1:10" x14ac:dyDescent="0.25">
      <c r="A99" s="52">
        <v>97</v>
      </c>
      <c r="B99" s="53" t="s">
        <v>223</v>
      </c>
      <c r="C99" s="51" t="s">
        <v>231</v>
      </c>
      <c r="D99" s="51" t="s">
        <v>170</v>
      </c>
      <c r="E99" s="51" t="s">
        <v>220</v>
      </c>
      <c r="F99" s="51" t="s">
        <v>240</v>
      </c>
      <c r="G99" s="52">
        <v>15</v>
      </c>
      <c r="H99" s="54">
        <f t="shared" si="6"/>
        <v>7000</v>
      </c>
      <c r="I99" s="54">
        <v>7500</v>
      </c>
      <c r="J99" s="47">
        <f t="shared" si="4"/>
        <v>105000</v>
      </c>
    </row>
    <row r="100" spans="1:10" x14ac:dyDescent="0.25">
      <c r="A100" s="52">
        <v>98</v>
      </c>
      <c r="B100" s="53" t="s">
        <v>224</v>
      </c>
      <c r="C100" s="51" t="s">
        <v>232</v>
      </c>
      <c r="D100" s="51" t="s">
        <v>170</v>
      </c>
      <c r="E100" s="51" t="s">
        <v>220</v>
      </c>
      <c r="F100" s="51" t="s">
        <v>240</v>
      </c>
      <c r="G100" s="52">
        <v>18</v>
      </c>
      <c r="H100" s="54">
        <f t="shared" si="6"/>
        <v>7700</v>
      </c>
      <c r="I100" s="54">
        <v>8200</v>
      </c>
      <c r="J100" s="47">
        <f t="shared" si="4"/>
        <v>138600</v>
      </c>
    </row>
    <row r="101" spans="1:10" x14ac:dyDescent="0.25">
      <c r="A101" s="52">
        <v>99</v>
      </c>
      <c r="B101" s="53" t="s">
        <v>225</v>
      </c>
      <c r="C101" s="51" t="s">
        <v>233</v>
      </c>
      <c r="D101" s="51" t="s">
        <v>170</v>
      </c>
      <c r="E101" s="51" t="s">
        <v>220</v>
      </c>
      <c r="F101" s="51" t="s">
        <v>240</v>
      </c>
      <c r="G101" s="52">
        <v>12</v>
      </c>
      <c r="H101" s="54">
        <f t="shared" si="6"/>
        <v>6400</v>
      </c>
      <c r="I101" s="54">
        <v>6900</v>
      </c>
      <c r="J101" s="47">
        <f t="shared" si="4"/>
        <v>76800</v>
      </c>
    </row>
    <row r="102" spans="1:10" x14ac:dyDescent="0.25">
      <c r="A102" s="52">
        <v>100</v>
      </c>
      <c r="B102" s="53" t="s">
        <v>226</v>
      </c>
      <c r="C102" s="51" t="s">
        <v>234</v>
      </c>
      <c r="D102" s="51" t="s">
        <v>170</v>
      </c>
      <c r="E102" s="51" t="s">
        <v>220</v>
      </c>
      <c r="F102" s="51" t="s">
        <v>240</v>
      </c>
      <c r="G102" s="52">
        <v>14</v>
      </c>
      <c r="H102" s="54">
        <f t="shared" si="6"/>
        <v>7300</v>
      </c>
      <c r="I102" s="54">
        <v>7800</v>
      </c>
      <c r="J102" s="47">
        <f t="shared" si="4"/>
        <v>102200</v>
      </c>
    </row>
    <row r="103" spans="1:10" x14ac:dyDescent="0.25">
      <c r="A103" s="52">
        <v>101</v>
      </c>
      <c r="B103" s="53" t="s">
        <v>227</v>
      </c>
      <c r="C103" s="51" t="s">
        <v>235</v>
      </c>
      <c r="D103" s="51" t="s">
        <v>170</v>
      </c>
      <c r="E103" s="51" t="s">
        <v>220</v>
      </c>
      <c r="F103" s="51" t="s">
        <v>240</v>
      </c>
      <c r="G103" s="52">
        <v>20</v>
      </c>
      <c r="H103" s="54">
        <f t="shared" si="6"/>
        <v>8400</v>
      </c>
      <c r="I103" s="54">
        <v>8900</v>
      </c>
      <c r="J103" s="47">
        <f t="shared" si="4"/>
        <v>168000</v>
      </c>
    </row>
    <row r="104" spans="1:10" x14ac:dyDescent="0.25">
      <c r="A104" s="52">
        <v>102</v>
      </c>
      <c r="B104" s="53" t="s">
        <v>228</v>
      </c>
      <c r="C104" s="51" t="s">
        <v>236</v>
      </c>
      <c r="D104" s="51" t="s">
        <v>170</v>
      </c>
      <c r="E104" s="51" t="s">
        <v>220</v>
      </c>
      <c r="F104" s="51" t="s">
        <v>240</v>
      </c>
      <c r="G104" s="52">
        <v>22</v>
      </c>
      <c r="H104" s="54">
        <f t="shared" si="6"/>
        <v>5800</v>
      </c>
      <c r="I104" s="54">
        <v>6300</v>
      </c>
      <c r="J104" s="47">
        <f t="shared" si="4"/>
        <v>127600</v>
      </c>
    </row>
    <row r="105" spans="1:10" x14ac:dyDescent="0.25">
      <c r="A105" s="52">
        <v>103</v>
      </c>
      <c r="B105" s="53" t="s">
        <v>229</v>
      </c>
      <c r="C105" s="51" t="s">
        <v>237</v>
      </c>
      <c r="D105" s="51" t="s">
        <v>170</v>
      </c>
      <c r="E105" s="51" t="s">
        <v>220</v>
      </c>
      <c r="F105" s="51" t="s">
        <v>238</v>
      </c>
      <c r="G105" s="52">
        <v>18</v>
      </c>
      <c r="H105" s="54">
        <f t="shared" si="6"/>
        <v>6500</v>
      </c>
      <c r="I105" s="54">
        <v>7000</v>
      </c>
      <c r="J105" s="47">
        <f t="shared" si="4"/>
        <v>117000</v>
      </c>
    </row>
    <row r="106" spans="1:10" x14ac:dyDescent="0.25">
      <c r="A106" s="52">
        <v>104</v>
      </c>
      <c r="B106" s="53" t="s">
        <v>230</v>
      </c>
      <c r="C106" s="51" t="s">
        <v>219</v>
      </c>
      <c r="D106" s="51" t="s">
        <v>170</v>
      </c>
      <c r="E106" s="51" t="s">
        <v>220</v>
      </c>
      <c r="F106" s="51" t="s">
        <v>239</v>
      </c>
      <c r="G106" s="52">
        <v>14</v>
      </c>
      <c r="H106" s="54">
        <f t="shared" si="6"/>
        <v>6000</v>
      </c>
      <c r="I106" s="54">
        <v>6500</v>
      </c>
      <c r="J106" s="47">
        <f t="shared" si="4"/>
        <v>84000</v>
      </c>
    </row>
    <row r="107" spans="1:10" x14ac:dyDescent="0.25">
      <c r="A107" s="52">
        <v>105</v>
      </c>
      <c r="B107" s="53" t="s">
        <v>242</v>
      </c>
      <c r="C107" s="51" t="s">
        <v>250</v>
      </c>
      <c r="D107" s="51" t="s">
        <v>170</v>
      </c>
      <c r="E107" s="51" t="s">
        <v>220</v>
      </c>
      <c r="F107" s="51" t="s">
        <v>240</v>
      </c>
      <c r="G107" s="52">
        <v>12</v>
      </c>
      <c r="H107" s="54">
        <f t="shared" si="6"/>
        <v>2700</v>
      </c>
      <c r="I107" s="54">
        <v>3200</v>
      </c>
      <c r="J107" s="47">
        <f t="shared" si="4"/>
        <v>32400</v>
      </c>
    </row>
    <row r="108" spans="1:10" x14ac:dyDescent="0.25">
      <c r="A108" s="52">
        <v>106</v>
      </c>
      <c r="B108" s="53" t="s">
        <v>243</v>
      </c>
      <c r="C108" s="51" t="s">
        <v>251</v>
      </c>
      <c r="D108" s="51" t="s">
        <v>170</v>
      </c>
      <c r="E108" s="51" t="s">
        <v>220</v>
      </c>
      <c r="F108" s="51" t="s">
        <v>240</v>
      </c>
      <c r="G108" s="52">
        <v>10</v>
      </c>
      <c r="H108" s="54">
        <f t="shared" si="6"/>
        <v>3300</v>
      </c>
      <c r="I108" s="54">
        <v>3800</v>
      </c>
      <c r="J108" s="47">
        <f t="shared" si="4"/>
        <v>33000</v>
      </c>
    </row>
    <row r="109" spans="1:10" x14ac:dyDescent="0.25">
      <c r="A109" s="52">
        <v>107</v>
      </c>
      <c r="B109" s="53" t="s">
        <v>244</v>
      </c>
      <c r="C109" s="51" t="s">
        <v>252</v>
      </c>
      <c r="D109" s="51" t="s">
        <v>170</v>
      </c>
      <c r="E109" s="51" t="s">
        <v>220</v>
      </c>
      <c r="F109" s="51" t="s">
        <v>240</v>
      </c>
      <c r="G109" s="52">
        <v>15</v>
      </c>
      <c r="H109" s="54">
        <f t="shared" si="6"/>
        <v>3000</v>
      </c>
      <c r="I109" s="54">
        <v>3500</v>
      </c>
      <c r="J109" s="47">
        <f t="shared" si="4"/>
        <v>45000</v>
      </c>
    </row>
    <row r="110" spans="1:10" x14ac:dyDescent="0.25">
      <c r="A110" s="52">
        <v>108</v>
      </c>
      <c r="B110" s="53" t="s">
        <v>245</v>
      </c>
      <c r="C110" s="51" t="s">
        <v>253</v>
      </c>
      <c r="D110" s="51" t="s">
        <v>170</v>
      </c>
      <c r="E110" s="51" t="s">
        <v>220</v>
      </c>
      <c r="F110" s="51" t="s">
        <v>240</v>
      </c>
      <c r="G110" s="52">
        <v>12</v>
      </c>
      <c r="H110" s="54">
        <f t="shared" si="6"/>
        <v>3400</v>
      </c>
      <c r="I110" s="54">
        <v>3900</v>
      </c>
      <c r="J110" s="47">
        <f t="shared" si="4"/>
        <v>40800</v>
      </c>
    </row>
    <row r="111" spans="1:10" x14ac:dyDescent="0.25">
      <c r="A111" s="52">
        <v>109</v>
      </c>
      <c r="B111" s="53" t="s">
        <v>246</v>
      </c>
      <c r="C111" s="51" t="s">
        <v>254</v>
      </c>
      <c r="D111" s="51" t="s">
        <v>170</v>
      </c>
      <c r="E111" s="51" t="s">
        <v>220</v>
      </c>
      <c r="F111" s="51" t="s">
        <v>240</v>
      </c>
      <c r="G111" s="52">
        <v>10</v>
      </c>
      <c r="H111" s="54">
        <f t="shared" si="6"/>
        <v>3700</v>
      </c>
      <c r="I111" s="54">
        <v>4200</v>
      </c>
      <c r="J111" s="47">
        <f t="shared" si="4"/>
        <v>37000</v>
      </c>
    </row>
    <row r="112" spans="1:10" x14ac:dyDescent="0.25">
      <c r="A112" s="52">
        <v>110</v>
      </c>
      <c r="B112" s="53" t="s">
        <v>247</v>
      </c>
      <c r="C112" s="51" t="s">
        <v>255</v>
      </c>
      <c r="D112" s="51" t="s">
        <v>170</v>
      </c>
      <c r="E112" s="51" t="s">
        <v>220</v>
      </c>
      <c r="F112" s="51" t="s">
        <v>240</v>
      </c>
      <c r="G112" s="52">
        <v>18</v>
      </c>
      <c r="H112" s="54">
        <f t="shared" si="6"/>
        <v>2400</v>
      </c>
      <c r="I112" s="54">
        <v>2900</v>
      </c>
      <c r="J112" s="47">
        <f t="shared" si="4"/>
        <v>43200</v>
      </c>
    </row>
    <row r="113" spans="1:10" x14ac:dyDescent="0.25">
      <c r="A113" s="52">
        <v>111</v>
      </c>
      <c r="B113" s="53" t="s">
        <v>248</v>
      </c>
      <c r="C113" s="51" t="s">
        <v>256</v>
      </c>
      <c r="D113" s="51" t="s">
        <v>170</v>
      </c>
      <c r="E113" s="51" t="s">
        <v>220</v>
      </c>
      <c r="F113" s="51" t="s">
        <v>240</v>
      </c>
      <c r="G113" s="52">
        <v>12</v>
      </c>
      <c r="H113" s="54">
        <f t="shared" si="6"/>
        <v>6500</v>
      </c>
      <c r="I113" s="54">
        <v>7000</v>
      </c>
      <c r="J113" s="47">
        <f t="shared" si="4"/>
        <v>78000</v>
      </c>
    </row>
    <row r="114" spans="1:10" x14ac:dyDescent="0.25">
      <c r="A114" s="52">
        <v>112</v>
      </c>
      <c r="B114" s="53" t="s">
        <v>249</v>
      </c>
      <c r="C114" s="51" t="s">
        <v>257</v>
      </c>
      <c r="D114" s="51" t="s">
        <v>170</v>
      </c>
      <c r="E114" s="51" t="s">
        <v>220</v>
      </c>
      <c r="F114" s="51" t="s">
        <v>240</v>
      </c>
      <c r="G114" s="52">
        <v>20</v>
      </c>
      <c r="H114" s="54">
        <f t="shared" si="6"/>
        <v>6000</v>
      </c>
      <c r="I114" s="54">
        <v>6500</v>
      </c>
      <c r="J114" s="47">
        <f t="shared" si="4"/>
        <v>120000</v>
      </c>
    </row>
    <row r="115" spans="1:10" x14ac:dyDescent="0.25">
      <c r="A115" s="52">
        <v>113</v>
      </c>
      <c r="B115" s="53" t="s">
        <v>261</v>
      </c>
      <c r="C115" s="51" t="s">
        <v>278</v>
      </c>
      <c r="D115" s="51" t="s">
        <v>258</v>
      </c>
      <c r="E115" s="53" t="s">
        <v>21</v>
      </c>
      <c r="F115" s="51" t="s">
        <v>23</v>
      </c>
      <c r="G115" s="52">
        <v>22</v>
      </c>
      <c r="H115" s="53">
        <f>I115-2000</f>
        <v>22000</v>
      </c>
      <c r="I115" s="54">
        <v>24000</v>
      </c>
      <c r="J115" s="47">
        <f t="shared" si="4"/>
        <v>484000</v>
      </c>
    </row>
    <row r="116" spans="1:10" x14ac:dyDescent="0.25">
      <c r="A116" s="52">
        <v>114</v>
      </c>
      <c r="B116" s="53" t="s">
        <v>262</v>
      </c>
      <c r="C116" s="51" t="s">
        <v>147</v>
      </c>
      <c r="D116" s="51" t="s">
        <v>258</v>
      </c>
      <c r="E116" s="53" t="s">
        <v>21</v>
      </c>
      <c r="F116" s="51" t="s">
        <v>23</v>
      </c>
      <c r="G116" s="52">
        <v>23</v>
      </c>
      <c r="H116" s="53">
        <f t="shared" ref="H116:H130" si="7">I116-2000</f>
        <v>26000</v>
      </c>
      <c r="I116" s="54">
        <v>28000</v>
      </c>
      <c r="J116" s="47">
        <f t="shared" si="4"/>
        <v>598000</v>
      </c>
    </row>
    <row r="117" spans="1:10" x14ac:dyDescent="0.25">
      <c r="A117" s="52">
        <v>115</v>
      </c>
      <c r="B117" s="53" t="s">
        <v>263</v>
      </c>
      <c r="C117" s="51" t="s">
        <v>279</v>
      </c>
      <c r="D117" s="51" t="s">
        <v>258</v>
      </c>
      <c r="E117" s="53" t="s">
        <v>21</v>
      </c>
      <c r="F117" s="51" t="s">
        <v>23</v>
      </c>
      <c r="G117" s="52">
        <v>21</v>
      </c>
      <c r="H117" s="53">
        <f t="shared" si="7"/>
        <v>28000</v>
      </c>
      <c r="I117" s="54">
        <v>30000</v>
      </c>
      <c r="J117" s="47">
        <f t="shared" si="4"/>
        <v>588000</v>
      </c>
    </row>
    <row r="118" spans="1:10" x14ac:dyDescent="0.25">
      <c r="A118" s="52">
        <v>116</v>
      </c>
      <c r="B118" s="53" t="s">
        <v>264</v>
      </c>
      <c r="C118" s="51" t="s">
        <v>282</v>
      </c>
      <c r="D118" s="51" t="s">
        <v>258</v>
      </c>
      <c r="E118" s="53" t="s">
        <v>21</v>
      </c>
      <c r="F118" s="51" t="s">
        <v>23</v>
      </c>
      <c r="G118" s="52">
        <v>20</v>
      </c>
      <c r="H118" s="53">
        <f t="shared" si="7"/>
        <v>24000</v>
      </c>
      <c r="I118" s="54">
        <v>26000</v>
      </c>
      <c r="J118" s="47">
        <f t="shared" si="4"/>
        <v>480000</v>
      </c>
    </row>
    <row r="119" spans="1:10" x14ac:dyDescent="0.25">
      <c r="A119" s="52">
        <v>117</v>
      </c>
      <c r="B119" s="53" t="s">
        <v>265</v>
      </c>
      <c r="C119" s="51" t="s">
        <v>280</v>
      </c>
      <c r="D119" s="51" t="s">
        <v>258</v>
      </c>
      <c r="E119" s="53" t="s">
        <v>21</v>
      </c>
      <c r="F119" s="51" t="s">
        <v>23</v>
      </c>
      <c r="G119" s="52">
        <v>14</v>
      </c>
      <c r="H119" s="53">
        <f t="shared" si="7"/>
        <v>17000</v>
      </c>
      <c r="I119" s="54">
        <v>19000</v>
      </c>
      <c r="J119" s="47">
        <f t="shared" si="4"/>
        <v>238000</v>
      </c>
    </row>
    <row r="120" spans="1:10" x14ac:dyDescent="0.25">
      <c r="A120" s="52">
        <v>118</v>
      </c>
      <c r="B120" s="53" t="s">
        <v>266</v>
      </c>
      <c r="C120" s="51" t="s">
        <v>281</v>
      </c>
      <c r="D120" s="51" t="s">
        <v>258</v>
      </c>
      <c r="E120" s="53" t="s">
        <v>21</v>
      </c>
      <c r="F120" s="51" t="s">
        <v>23</v>
      </c>
      <c r="G120" s="52">
        <v>18</v>
      </c>
      <c r="H120" s="53">
        <f t="shared" si="7"/>
        <v>12000</v>
      </c>
      <c r="I120" s="53">
        <v>14000</v>
      </c>
      <c r="J120" s="47">
        <f t="shared" si="4"/>
        <v>216000</v>
      </c>
    </row>
    <row r="121" spans="1:10" x14ac:dyDescent="0.25">
      <c r="A121" s="52">
        <v>119</v>
      </c>
      <c r="B121" s="53" t="s">
        <v>267</v>
      </c>
      <c r="C121" s="51" t="s">
        <v>283</v>
      </c>
      <c r="D121" s="51" t="s">
        <v>258</v>
      </c>
      <c r="E121" s="53" t="s">
        <v>21</v>
      </c>
      <c r="F121" s="51" t="s">
        <v>23</v>
      </c>
      <c r="G121" s="52">
        <v>14</v>
      </c>
      <c r="H121" s="53">
        <f t="shared" si="7"/>
        <v>13000</v>
      </c>
      <c r="I121" s="54">
        <v>15000</v>
      </c>
      <c r="J121" s="47">
        <f t="shared" si="4"/>
        <v>182000</v>
      </c>
    </row>
    <row r="122" spans="1:10" x14ac:dyDescent="0.25">
      <c r="A122" s="52">
        <v>120</v>
      </c>
      <c r="B122" s="53" t="s">
        <v>268</v>
      </c>
      <c r="C122" s="51" t="s">
        <v>284</v>
      </c>
      <c r="D122" s="51" t="s">
        <v>258</v>
      </c>
      <c r="E122" s="53" t="s">
        <v>21</v>
      </c>
      <c r="F122" s="51" t="s">
        <v>23</v>
      </c>
      <c r="G122" s="52">
        <v>12</v>
      </c>
      <c r="H122" s="53">
        <f t="shared" si="7"/>
        <v>14000</v>
      </c>
      <c r="I122" s="54">
        <v>16000</v>
      </c>
      <c r="J122" s="47">
        <f t="shared" si="4"/>
        <v>168000</v>
      </c>
    </row>
    <row r="123" spans="1:10" x14ac:dyDescent="0.25">
      <c r="A123" s="52">
        <v>121</v>
      </c>
      <c r="B123" s="53" t="s">
        <v>269</v>
      </c>
      <c r="C123" s="51" t="s">
        <v>285</v>
      </c>
      <c r="D123" s="51" t="s">
        <v>258</v>
      </c>
      <c r="E123" s="53" t="s">
        <v>20</v>
      </c>
      <c r="F123" s="51" t="s">
        <v>277</v>
      </c>
      <c r="G123" s="52">
        <v>10</v>
      </c>
      <c r="H123" s="53">
        <f t="shared" si="7"/>
        <v>22000</v>
      </c>
      <c r="I123" s="54">
        <v>24000</v>
      </c>
      <c r="J123" s="47">
        <f t="shared" si="4"/>
        <v>220000</v>
      </c>
    </row>
    <row r="124" spans="1:10" x14ac:dyDescent="0.25">
      <c r="A124" s="52">
        <v>122</v>
      </c>
      <c r="B124" s="53" t="s">
        <v>270</v>
      </c>
      <c r="C124" s="51" t="s">
        <v>286</v>
      </c>
      <c r="D124" s="51" t="s">
        <v>258</v>
      </c>
      <c r="E124" s="53" t="s">
        <v>20</v>
      </c>
      <c r="F124" s="51" t="s">
        <v>277</v>
      </c>
      <c r="G124" s="52">
        <v>15</v>
      </c>
      <c r="H124" s="53">
        <f t="shared" si="7"/>
        <v>26000</v>
      </c>
      <c r="I124" s="54">
        <v>28000</v>
      </c>
      <c r="J124" s="47">
        <f t="shared" si="4"/>
        <v>390000</v>
      </c>
    </row>
    <row r="125" spans="1:10" x14ac:dyDescent="0.25">
      <c r="A125" s="52">
        <v>123</v>
      </c>
      <c r="B125" s="53" t="s">
        <v>271</v>
      </c>
      <c r="C125" s="51" t="s">
        <v>287</v>
      </c>
      <c r="D125" s="51" t="s">
        <v>258</v>
      </c>
      <c r="E125" s="53" t="s">
        <v>20</v>
      </c>
      <c r="F125" s="51" t="s">
        <v>277</v>
      </c>
      <c r="G125" s="52">
        <v>12</v>
      </c>
      <c r="H125" s="53">
        <f t="shared" si="7"/>
        <v>28000</v>
      </c>
      <c r="I125" s="54">
        <v>30000</v>
      </c>
      <c r="J125" s="47">
        <f t="shared" si="4"/>
        <v>336000</v>
      </c>
    </row>
    <row r="126" spans="1:10" x14ac:dyDescent="0.25">
      <c r="A126" s="52">
        <v>124</v>
      </c>
      <c r="B126" s="53" t="s">
        <v>272</v>
      </c>
      <c r="C126" s="51" t="s">
        <v>288</v>
      </c>
      <c r="D126" s="51" t="s">
        <v>258</v>
      </c>
      <c r="E126" s="53" t="s">
        <v>20</v>
      </c>
      <c r="F126" s="51" t="s">
        <v>277</v>
      </c>
      <c r="G126" s="52">
        <v>10</v>
      </c>
      <c r="H126" s="53">
        <f t="shared" si="7"/>
        <v>20000</v>
      </c>
      <c r="I126" s="54">
        <v>22000</v>
      </c>
      <c r="J126" s="47">
        <f t="shared" si="4"/>
        <v>200000</v>
      </c>
    </row>
    <row r="127" spans="1:10" x14ac:dyDescent="0.25">
      <c r="A127" s="52">
        <v>125</v>
      </c>
      <c r="B127" s="53" t="s">
        <v>273</v>
      </c>
      <c r="C127" s="51" t="s">
        <v>289</v>
      </c>
      <c r="D127" s="51" t="s">
        <v>258</v>
      </c>
      <c r="E127" s="53" t="s">
        <v>20</v>
      </c>
      <c r="F127" s="51" t="s">
        <v>277</v>
      </c>
      <c r="G127" s="52">
        <v>18</v>
      </c>
      <c r="H127" s="53">
        <f t="shared" si="7"/>
        <v>15000</v>
      </c>
      <c r="I127" s="54">
        <v>17000</v>
      </c>
      <c r="J127" s="47">
        <f t="shared" si="4"/>
        <v>270000</v>
      </c>
    </row>
    <row r="128" spans="1:10" x14ac:dyDescent="0.25">
      <c r="A128" s="52">
        <v>126</v>
      </c>
      <c r="B128" s="53" t="s">
        <v>274</v>
      </c>
      <c r="C128" s="51" t="s">
        <v>290</v>
      </c>
      <c r="D128" s="51" t="s">
        <v>258</v>
      </c>
      <c r="E128" s="53" t="s">
        <v>20</v>
      </c>
      <c r="F128" s="51" t="s">
        <v>277</v>
      </c>
      <c r="G128" s="52">
        <v>12</v>
      </c>
      <c r="H128" s="53">
        <f t="shared" si="7"/>
        <v>20000</v>
      </c>
      <c r="I128" s="54">
        <v>22000</v>
      </c>
      <c r="J128" s="47">
        <f t="shared" si="4"/>
        <v>240000</v>
      </c>
    </row>
    <row r="129" spans="1:10" x14ac:dyDescent="0.25">
      <c r="A129" s="52">
        <v>127</v>
      </c>
      <c r="B129" s="53" t="s">
        <v>275</v>
      </c>
      <c r="C129" s="51" t="s">
        <v>291</v>
      </c>
      <c r="D129" s="51" t="s">
        <v>258</v>
      </c>
      <c r="E129" s="53" t="s">
        <v>20</v>
      </c>
      <c r="F129" s="51" t="s">
        <v>277</v>
      </c>
      <c r="G129" s="52">
        <v>20</v>
      </c>
      <c r="H129" s="53">
        <f t="shared" si="7"/>
        <v>17000</v>
      </c>
      <c r="I129" s="54">
        <v>19000</v>
      </c>
      <c r="J129" s="47">
        <f t="shared" si="4"/>
        <v>340000</v>
      </c>
    </row>
    <row r="130" spans="1:10" x14ac:dyDescent="0.25">
      <c r="A130" s="52">
        <v>128</v>
      </c>
      <c r="B130" s="53" t="s">
        <v>276</v>
      </c>
      <c r="C130" s="51" t="s">
        <v>292</v>
      </c>
      <c r="D130" s="51" t="s">
        <v>258</v>
      </c>
      <c r="E130" s="53" t="s">
        <v>20</v>
      </c>
      <c r="F130" s="51" t="s">
        <v>277</v>
      </c>
      <c r="G130" s="52">
        <v>22</v>
      </c>
      <c r="H130" s="53">
        <f t="shared" si="7"/>
        <v>18000</v>
      </c>
      <c r="I130" s="54">
        <v>20000</v>
      </c>
      <c r="J130" s="47">
        <f t="shared" si="4"/>
        <v>396000</v>
      </c>
    </row>
    <row r="131" spans="1:10" x14ac:dyDescent="0.25">
      <c r="A131" s="52">
        <v>129</v>
      </c>
      <c r="B131" s="53" t="s">
        <v>295</v>
      </c>
      <c r="C131" s="51" t="s">
        <v>296</v>
      </c>
      <c r="D131" s="51" t="s">
        <v>293</v>
      </c>
      <c r="E131" s="56"/>
      <c r="F131" s="56"/>
      <c r="G131" s="52">
        <v>23</v>
      </c>
      <c r="H131" s="54">
        <f>I131-400</f>
        <v>1600</v>
      </c>
      <c r="I131" s="54">
        <v>2000</v>
      </c>
      <c r="J131" s="47">
        <f t="shared" si="4"/>
        <v>36800</v>
      </c>
    </row>
    <row r="132" spans="1:10" x14ac:dyDescent="0.25">
      <c r="A132" s="52">
        <v>130</v>
      </c>
      <c r="B132" s="53" t="s">
        <v>326</v>
      </c>
      <c r="C132" s="51" t="s">
        <v>297</v>
      </c>
      <c r="D132" s="51" t="s">
        <v>293</v>
      </c>
      <c r="E132" s="56"/>
      <c r="F132" s="56"/>
      <c r="G132" s="52">
        <v>21</v>
      </c>
      <c r="H132" s="54">
        <f t="shared" ref="H132:H153" si="8">I132-400</f>
        <v>2600</v>
      </c>
      <c r="I132" s="54">
        <v>3000</v>
      </c>
      <c r="J132" s="47">
        <f t="shared" ref="J132:J160" si="9">G132*H132</f>
        <v>54600</v>
      </c>
    </row>
    <row r="133" spans="1:10" x14ac:dyDescent="0.25">
      <c r="A133" s="52">
        <v>131</v>
      </c>
      <c r="B133" s="53" t="s">
        <v>327</v>
      </c>
      <c r="C133" s="51" t="s">
        <v>298</v>
      </c>
      <c r="D133" s="51" t="s">
        <v>293</v>
      </c>
      <c r="E133" s="56"/>
      <c r="F133" s="56"/>
      <c r="G133" s="52">
        <v>20</v>
      </c>
      <c r="H133" s="54">
        <f t="shared" si="8"/>
        <v>4100</v>
      </c>
      <c r="I133" s="54">
        <v>4500</v>
      </c>
      <c r="J133" s="47">
        <f t="shared" si="9"/>
        <v>82000</v>
      </c>
    </row>
    <row r="134" spans="1:10" x14ac:dyDescent="0.25">
      <c r="A134" s="52">
        <v>132</v>
      </c>
      <c r="B134" s="53" t="s">
        <v>328</v>
      </c>
      <c r="C134" s="51" t="s">
        <v>299</v>
      </c>
      <c r="D134" s="51" t="s">
        <v>293</v>
      </c>
      <c r="E134" s="56"/>
      <c r="F134" s="56"/>
      <c r="G134" s="52">
        <v>14</v>
      </c>
      <c r="H134" s="54">
        <f t="shared" si="8"/>
        <v>4100</v>
      </c>
      <c r="I134" s="54">
        <v>4500</v>
      </c>
      <c r="J134" s="47">
        <f t="shared" si="9"/>
        <v>57400</v>
      </c>
    </row>
    <row r="135" spans="1:10" x14ac:dyDescent="0.25">
      <c r="A135" s="52">
        <v>133</v>
      </c>
      <c r="B135" s="53" t="s">
        <v>329</v>
      </c>
      <c r="C135" s="51" t="s">
        <v>300</v>
      </c>
      <c r="D135" s="51" t="s">
        <v>293</v>
      </c>
      <c r="E135" s="56"/>
      <c r="F135" s="56"/>
      <c r="G135" s="53"/>
      <c r="H135" s="54">
        <f t="shared" si="8"/>
        <v>6200</v>
      </c>
      <c r="I135" s="54">
        <v>6600</v>
      </c>
      <c r="J135" s="47">
        <f t="shared" si="9"/>
        <v>0</v>
      </c>
    </row>
    <row r="136" spans="1:10" x14ac:dyDescent="0.25">
      <c r="A136" s="52">
        <v>134</v>
      </c>
      <c r="B136" s="53" t="s">
        <v>330</v>
      </c>
      <c r="C136" s="51" t="s">
        <v>301</v>
      </c>
      <c r="D136" s="51" t="s">
        <v>293</v>
      </c>
      <c r="E136" s="56"/>
      <c r="F136" s="56"/>
      <c r="G136" s="52">
        <v>12</v>
      </c>
      <c r="H136" s="54">
        <f t="shared" si="8"/>
        <v>1600</v>
      </c>
      <c r="I136" s="54">
        <v>2000</v>
      </c>
      <c r="J136" s="47">
        <f t="shared" si="9"/>
        <v>19200</v>
      </c>
    </row>
    <row r="137" spans="1:10" x14ac:dyDescent="0.25">
      <c r="A137" s="52">
        <v>135</v>
      </c>
      <c r="B137" s="53" t="s">
        <v>331</v>
      </c>
      <c r="C137" s="51" t="s">
        <v>302</v>
      </c>
      <c r="D137" s="51" t="s">
        <v>293</v>
      </c>
      <c r="E137" s="56"/>
      <c r="F137" s="56"/>
      <c r="G137" s="52">
        <v>20</v>
      </c>
      <c r="H137" s="54">
        <f t="shared" si="8"/>
        <v>7600</v>
      </c>
      <c r="I137" s="54">
        <v>8000</v>
      </c>
      <c r="J137" s="47">
        <f t="shared" si="9"/>
        <v>152000</v>
      </c>
    </row>
    <row r="138" spans="1:10" x14ac:dyDescent="0.25">
      <c r="A138" s="52">
        <v>136</v>
      </c>
      <c r="B138" s="53" t="s">
        <v>332</v>
      </c>
      <c r="C138" s="51" t="s">
        <v>303</v>
      </c>
      <c r="D138" s="51" t="s">
        <v>293</v>
      </c>
      <c r="E138" s="56"/>
      <c r="F138" s="56"/>
      <c r="G138" s="52">
        <v>22</v>
      </c>
      <c r="H138" s="54">
        <f t="shared" si="8"/>
        <v>4600</v>
      </c>
      <c r="I138" s="54">
        <v>5000</v>
      </c>
      <c r="J138" s="47">
        <f t="shared" si="9"/>
        <v>101200</v>
      </c>
    </row>
    <row r="139" spans="1:10" x14ac:dyDescent="0.25">
      <c r="A139" s="52">
        <v>137</v>
      </c>
      <c r="B139" s="53" t="s">
        <v>333</v>
      </c>
      <c r="C139" s="51" t="s">
        <v>304</v>
      </c>
      <c r="D139" s="51" t="s">
        <v>293</v>
      </c>
      <c r="E139" s="56"/>
      <c r="F139" s="56"/>
      <c r="G139" s="52">
        <v>23</v>
      </c>
      <c r="H139" s="54">
        <f t="shared" si="8"/>
        <v>5600</v>
      </c>
      <c r="I139" s="54">
        <v>6000</v>
      </c>
      <c r="J139" s="47">
        <f t="shared" si="9"/>
        <v>128800</v>
      </c>
    </row>
    <row r="140" spans="1:10" x14ac:dyDescent="0.25">
      <c r="A140" s="52">
        <v>138</v>
      </c>
      <c r="B140" s="53" t="s">
        <v>334</v>
      </c>
      <c r="C140" s="51" t="s">
        <v>305</v>
      </c>
      <c r="D140" s="51" t="s">
        <v>293</v>
      </c>
      <c r="E140" s="56"/>
      <c r="F140" s="56"/>
      <c r="G140" s="52">
        <v>21</v>
      </c>
      <c r="H140" s="54">
        <f t="shared" si="8"/>
        <v>10600</v>
      </c>
      <c r="I140" s="54">
        <v>11000</v>
      </c>
      <c r="J140" s="47">
        <f t="shared" si="9"/>
        <v>222600</v>
      </c>
    </row>
    <row r="141" spans="1:10" x14ac:dyDescent="0.25">
      <c r="A141" s="52">
        <v>139</v>
      </c>
      <c r="B141" s="53" t="s">
        <v>335</v>
      </c>
      <c r="C141" s="51" t="s">
        <v>306</v>
      </c>
      <c r="D141" s="51" t="s">
        <v>293</v>
      </c>
      <c r="E141" s="56"/>
      <c r="F141" s="56"/>
      <c r="G141" s="52">
        <v>20</v>
      </c>
      <c r="H141" s="54">
        <f t="shared" si="8"/>
        <v>4600</v>
      </c>
      <c r="I141" s="54">
        <v>5000</v>
      </c>
      <c r="J141" s="47">
        <f t="shared" si="9"/>
        <v>92000</v>
      </c>
    </row>
    <row r="142" spans="1:10" x14ac:dyDescent="0.25">
      <c r="A142" s="52">
        <v>140</v>
      </c>
      <c r="B142" s="53" t="s">
        <v>336</v>
      </c>
      <c r="C142" s="51" t="s">
        <v>307</v>
      </c>
      <c r="D142" s="51" t="s">
        <v>293</v>
      </c>
      <c r="E142" s="56"/>
      <c r="F142" s="56"/>
      <c r="G142" s="52">
        <v>14</v>
      </c>
      <c r="H142" s="54">
        <f t="shared" si="8"/>
        <v>1600</v>
      </c>
      <c r="I142" s="54">
        <v>2000</v>
      </c>
      <c r="J142" s="47">
        <f t="shared" si="9"/>
        <v>22400</v>
      </c>
    </row>
    <row r="143" spans="1:10" x14ac:dyDescent="0.25">
      <c r="A143" s="52">
        <v>141</v>
      </c>
      <c r="B143" s="53" t="s">
        <v>337</v>
      </c>
      <c r="C143" s="51" t="s">
        <v>308</v>
      </c>
      <c r="D143" s="51" t="s">
        <v>293</v>
      </c>
      <c r="E143" s="56"/>
      <c r="F143" s="56"/>
      <c r="G143" s="52">
        <v>18</v>
      </c>
      <c r="H143" s="54">
        <f t="shared" si="8"/>
        <v>499</v>
      </c>
      <c r="I143" s="54">
        <v>899</v>
      </c>
      <c r="J143" s="47">
        <f t="shared" si="9"/>
        <v>8982</v>
      </c>
    </row>
    <row r="144" spans="1:10" x14ac:dyDescent="0.25">
      <c r="A144" s="52">
        <v>142</v>
      </c>
      <c r="B144" s="53" t="s">
        <v>338</v>
      </c>
      <c r="C144" s="51" t="s">
        <v>309</v>
      </c>
      <c r="D144" s="51" t="s">
        <v>293</v>
      </c>
      <c r="E144" s="56"/>
      <c r="F144" s="56"/>
      <c r="G144" s="52">
        <v>14</v>
      </c>
      <c r="H144" s="54">
        <f t="shared" si="8"/>
        <v>399</v>
      </c>
      <c r="I144" s="54">
        <v>799</v>
      </c>
      <c r="J144" s="47">
        <f t="shared" si="9"/>
        <v>5586</v>
      </c>
    </row>
    <row r="145" spans="1:10" x14ac:dyDescent="0.25">
      <c r="A145" s="52">
        <v>143</v>
      </c>
      <c r="B145" s="53" t="s">
        <v>339</v>
      </c>
      <c r="C145" s="51" t="s">
        <v>310</v>
      </c>
      <c r="D145" s="51" t="s">
        <v>293</v>
      </c>
      <c r="E145" s="56"/>
      <c r="F145" s="56"/>
      <c r="G145" s="52">
        <v>12</v>
      </c>
      <c r="H145" s="54">
        <f t="shared" si="8"/>
        <v>399</v>
      </c>
      <c r="I145" s="54">
        <v>799</v>
      </c>
      <c r="J145" s="47">
        <f t="shared" si="9"/>
        <v>4788</v>
      </c>
    </row>
    <row r="146" spans="1:10" x14ac:dyDescent="0.25">
      <c r="A146" s="52">
        <v>144</v>
      </c>
      <c r="B146" s="53" t="s">
        <v>340</v>
      </c>
      <c r="C146" s="51" t="s">
        <v>311</v>
      </c>
      <c r="D146" s="51" t="s">
        <v>293</v>
      </c>
      <c r="E146" s="56"/>
      <c r="F146" s="56"/>
      <c r="G146" s="52">
        <v>10</v>
      </c>
      <c r="H146" s="54">
        <f t="shared" si="8"/>
        <v>499</v>
      </c>
      <c r="I146" s="54">
        <v>899</v>
      </c>
      <c r="J146" s="47">
        <f t="shared" si="9"/>
        <v>4990</v>
      </c>
    </row>
    <row r="147" spans="1:10" x14ac:dyDescent="0.25">
      <c r="A147" s="52">
        <v>145</v>
      </c>
      <c r="B147" s="53" t="s">
        <v>341</v>
      </c>
      <c r="C147" s="51" t="s">
        <v>312</v>
      </c>
      <c r="D147" s="51" t="s">
        <v>293</v>
      </c>
      <c r="E147" s="56"/>
      <c r="F147" s="56"/>
      <c r="G147" s="52">
        <v>15</v>
      </c>
      <c r="H147" s="54">
        <f t="shared" si="8"/>
        <v>399</v>
      </c>
      <c r="I147" s="54">
        <v>799</v>
      </c>
      <c r="J147" s="47">
        <f t="shared" si="9"/>
        <v>5985</v>
      </c>
    </row>
    <row r="148" spans="1:10" x14ac:dyDescent="0.25">
      <c r="A148" s="52">
        <v>146</v>
      </c>
      <c r="B148" s="53" t="s">
        <v>342</v>
      </c>
      <c r="C148" s="51" t="s">
        <v>313</v>
      </c>
      <c r="D148" s="51" t="s">
        <v>293</v>
      </c>
      <c r="E148" s="56"/>
      <c r="F148" s="56"/>
      <c r="G148" s="52">
        <v>12</v>
      </c>
      <c r="H148" s="54">
        <f t="shared" si="8"/>
        <v>499</v>
      </c>
      <c r="I148" s="54">
        <v>899</v>
      </c>
      <c r="J148" s="47">
        <f t="shared" si="9"/>
        <v>5988</v>
      </c>
    </row>
    <row r="149" spans="1:10" x14ac:dyDescent="0.25">
      <c r="A149" s="52">
        <v>147</v>
      </c>
      <c r="B149" s="53" t="s">
        <v>343</v>
      </c>
      <c r="C149" s="51" t="s">
        <v>314</v>
      </c>
      <c r="D149" s="51" t="s">
        <v>293</v>
      </c>
      <c r="E149" s="56"/>
      <c r="F149" s="56"/>
      <c r="G149" s="52">
        <v>10</v>
      </c>
      <c r="H149" s="54">
        <f t="shared" si="8"/>
        <v>399</v>
      </c>
      <c r="I149" s="54">
        <v>799</v>
      </c>
      <c r="J149" s="47">
        <f t="shared" si="9"/>
        <v>3990</v>
      </c>
    </row>
    <row r="150" spans="1:10" x14ac:dyDescent="0.25">
      <c r="A150" s="52">
        <v>148</v>
      </c>
      <c r="B150" s="53" t="s">
        <v>344</v>
      </c>
      <c r="C150" s="51" t="s">
        <v>315</v>
      </c>
      <c r="D150" s="51" t="s">
        <v>293</v>
      </c>
      <c r="E150" s="56"/>
      <c r="F150" s="56"/>
      <c r="G150" s="52">
        <v>18</v>
      </c>
      <c r="H150" s="54">
        <f t="shared" si="8"/>
        <v>400</v>
      </c>
      <c r="I150" s="54">
        <v>800</v>
      </c>
      <c r="J150" s="47">
        <f t="shared" si="9"/>
        <v>7200</v>
      </c>
    </row>
    <row r="151" spans="1:10" x14ac:dyDescent="0.25">
      <c r="A151" s="52">
        <v>149</v>
      </c>
      <c r="B151" s="53" t="s">
        <v>345</v>
      </c>
      <c r="C151" s="51" t="s">
        <v>316</v>
      </c>
      <c r="D151" s="51" t="s">
        <v>293</v>
      </c>
      <c r="E151" s="56"/>
      <c r="F151" s="56"/>
      <c r="G151" s="52">
        <v>12</v>
      </c>
      <c r="H151" s="54">
        <f t="shared" si="8"/>
        <v>399</v>
      </c>
      <c r="I151" s="54">
        <v>799</v>
      </c>
      <c r="J151" s="47">
        <f t="shared" si="9"/>
        <v>4788</v>
      </c>
    </row>
    <row r="152" spans="1:10" x14ac:dyDescent="0.25">
      <c r="A152" s="52">
        <v>150</v>
      </c>
      <c r="B152" s="53" t="s">
        <v>346</v>
      </c>
      <c r="C152" s="51" t="s">
        <v>317</v>
      </c>
      <c r="D152" s="51" t="s">
        <v>293</v>
      </c>
      <c r="E152" s="56"/>
      <c r="F152" s="56"/>
      <c r="G152" s="52">
        <v>20</v>
      </c>
      <c r="H152" s="54">
        <f t="shared" si="8"/>
        <v>400</v>
      </c>
      <c r="I152" s="54">
        <v>800</v>
      </c>
      <c r="J152" s="47">
        <f t="shared" si="9"/>
        <v>8000</v>
      </c>
    </row>
    <row r="153" spans="1:10" x14ac:dyDescent="0.25">
      <c r="A153" s="52">
        <v>151</v>
      </c>
      <c r="B153" s="53" t="s">
        <v>347</v>
      </c>
      <c r="C153" s="51" t="s">
        <v>318</v>
      </c>
      <c r="D153" s="51" t="s">
        <v>293</v>
      </c>
      <c r="E153" s="56"/>
      <c r="F153" s="56"/>
      <c r="G153" s="52">
        <v>22</v>
      </c>
      <c r="H153" s="54">
        <f t="shared" si="8"/>
        <v>1600</v>
      </c>
      <c r="I153" s="54">
        <v>2000</v>
      </c>
      <c r="J153" s="47">
        <f t="shared" si="9"/>
        <v>35200</v>
      </c>
    </row>
    <row r="154" spans="1:10" x14ac:dyDescent="0.25">
      <c r="A154" s="52">
        <v>152</v>
      </c>
      <c r="B154" s="53" t="s">
        <v>348</v>
      </c>
      <c r="C154" s="51" t="s">
        <v>319</v>
      </c>
      <c r="D154" s="51" t="s">
        <v>293</v>
      </c>
      <c r="E154" s="56"/>
      <c r="F154" s="56"/>
      <c r="G154" s="52">
        <v>23</v>
      </c>
      <c r="H154" s="54">
        <f>I154-200</f>
        <v>400</v>
      </c>
      <c r="I154" s="54">
        <v>600</v>
      </c>
      <c r="J154" s="47">
        <f t="shared" si="9"/>
        <v>9200</v>
      </c>
    </row>
    <row r="155" spans="1:10" x14ac:dyDescent="0.25">
      <c r="A155" s="52">
        <v>153</v>
      </c>
      <c r="B155" s="53" t="s">
        <v>349</v>
      </c>
      <c r="C155" s="51" t="s">
        <v>320</v>
      </c>
      <c r="D155" s="51" t="s">
        <v>293</v>
      </c>
      <c r="E155" s="56"/>
      <c r="F155" s="56"/>
      <c r="G155" s="52">
        <v>21</v>
      </c>
      <c r="H155" s="54">
        <f t="shared" ref="H155:H160" si="10">I155-200</f>
        <v>600</v>
      </c>
      <c r="I155" s="54">
        <v>800</v>
      </c>
      <c r="J155" s="47">
        <f t="shared" si="9"/>
        <v>12600</v>
      </c>
    </row>
    <row r="156" spans="1:10" x14ac:dyDescent="0.25">
      <c r="A156" s="52">
        <v>154</v>
      </c>
      <c r="B156" s="53" t="s">
        <v>350</v>
      </c>
      <c r="C156" s="51" t="s">
        <v>321</v>
      </c>
      <c r="D156" s="51" t="s">
        <v>293</v>
      </c>
      <c r="E156" s="56"/>
      <c r="F156" s="56"/>
      <c r="G156" s="52">
        <v>20</v>
      </c>
      <c r="H156" s="54">
        <f t="shared" si="10"/>
        <v>1000</v>
      </c>
      <c r="I156" s="54">
        <v>1200</v>
      </c>
      <c r="J156" s="47">
        <f t="shared" si="9"/>
        <v>20000</v>
      </c>
    </row>
    <row r="157" spans="1:10" x14ac:dyDescent="0.25">
      <c r="A157" s="52">
        <v>155</v>
      </c>
      <c r="B157" s="53" t="s">
        <v>351</v>
      </c>
      <c r="C157" s="51" t="s">
        <v>322</v>
      </c>
      <c r="D157" s="51" t="s">
        <v>293</v>
      </c>
      <c r="E157" s="56"/>
      <c r="F157" s="56"/>
      <c r="G157" s="52">
        <v>14</v>
      </c>
      <c r="H157" s="54">
        <f t="shared" si="10"/>
        <v>100</v>
      </c>
      <c r="I157" s="54">
        <v>300</v>
      </c>
      <c r="J157" s="47">
        <f t="shared" si="9"/>
        <v>1400</v>
      </c>
    </row>
    <row r="158" spans="1:10" x14ac:dyDescent="0.25">
      <c r="A158" s="52">
        <v>156</v>
      </c>
      <c r="B158" s="53" t="s">
        <v>352</v>
      </c>
      <c r="C158" s="51" t="s">
        <v>323</v>
      </c>
      <c r="D158" s="51" t="s">
        <v>293</v>
      </c>
      <c r="E158" s="56"/>
      <c r="F158" s="56"/>
      <c r="G158" s="52">
        <v>23</v>
      </c>
      <c r="H158" s="54">
        <f t="shared" si="10"/>
        <v>400</v>
      </c>
      <c r="I158" s="54">
        <v>600</v>
      </c>
      <c r="J158" s="47">
        <f t="shared" si="9"/>
        <v>9200</v>
      </c>
    </row>
    <row r="159" spans="1:10" x14ac:dyDescent="0.25">
      <c r="A159" s="52">
        <v>157</v>
      </c>
      <c r="B159" s="53" t="s">
        <v>353</v>
      </c>
      <c r="C159" s="51" t="s">
        <v>324</v>
      </c>
      <c r="D159" s="51" t="s">
        <v>293</v>
      </c>
      <c r="E159" s="56"/>
      <c r="F159" s="56"/>
      <c r="G159" s="52">
        <v>21</v>
      </c>
      <c r="H159" s="54">
        <f t="shared" si="10"/>
        <v>1100</v>
      </c>
      <c r="I159" s="54">
        <v>1300</v>
      </c>
      <c r="J159" s="47">
        <f t="shared" si="9"/>
        <v>23100</v>
      </c>
    </row>
    <row r="160" spans="1:10" x14ac:dyDescent="0.25">
      <c r="A160" s="52">
        <v>158</v>
      </c>
      <c r="B160" s="53" t="s">
        <v>354</v>
      </c>
      <c r="C160" s="51" t="s">
        <v>325</v>
      </c>
      <c r="D160" s="51" t="s">
        <v>293</v>
      </c>
      <c r="E160" s="56"/>
      <c r="F160" s="56"/>
      <c r="G160" s="52">
        <v>20</v>
      </c>
      <c r="H160" s="54">
        <f t="shared" si="10"/>
        <v>700</v>
      </c>
      <c r="I160" s="54">
        <v>900</v>
      </c>
      <c r="J160" s="47">
        <f t="shared" si="9"/>
        <v>14000</v>
      </c>
    </row>
    <row r="161" spans="5:10" x14ac:dyDescent="0.25">
      <c r="G161" s="33"/>
      <c r="J161" s="45"/>
    </row>
    <row r="167" spans="5:10" x14ac:dyDescent="0.25">
      <c r="E167" s="59" t="s">
        <v>613</v>
      </c>
      <c r="F167" s="45" t="s">
        <v>614</v>
      </c>
    </row>
    <row r="168" spans="5:10" x14ac:dyDescent="0.25">
      <c r="E168" s="60" t="s">
        <v>293</v>
      </c>
      <c r="F168" s="61">
        <v>515</v>
      </c>
    </row>
    <row r="169" spans="5:10" x14ac:dyDescent="0.25">
      <c r="E169" s="60" t="s">
        <v>170</v>
      </c>
      <c r="F169" s="61">
        <v>405</v>
      </c>
    </row>
    <row r="170" spans="5:10" x14ac:dyDescent="0.25">
      <c r="E170" s="60" t="s">
        <v>4</v>
      </c>
      <c r="F170" s="61">
        <v>142</v>
      </c>
    </row>
    <row r="171" spans="5:10" x14ac:dyDescent="0.25">
      <c r="E171" s="60" t="s">
        <v>1</v>
      </c>
      <c r="F171" s="61">
        <v>514</v>
      </c>
    </row>
    <row r="172" spans="5:10" x14ac:dyDescent="0.25">
      <c r="E172" s="60" t="s">
        <v>33</v>
      </c>
      <c r="F172" s="61">
        <v>150</v>
      </c>
    </row>
    <row r="173" spans="5:10" x14ac:dyDescent="0.25">
      <c r="E173" s="60" t="s">
        <v>258</v>
      </c>
      <c r="F173" s="61">
        <v>263</v>
      </c>
    </row>
    <row r="174" spans="5:10" x14ac:dyDescent="0.25">
      <c r="E174" s="60" t="s">
        <v>24</v>
      </c>
      <c r="F174" s="61">
        <v>113</v>
      </c>
    </row>
    <row r="175" spans="5:10" x14ac:dyDescent="0.25">
      <c r="E175" s="60" t="s">
        <v>134</v>
      </c>
      <c r="F175" s="61">
        <v>514</v>
      </c>
    </row>
    <row r="176" spans="5:10" x14ac:dyDescent="0.25">
      <c r="E176" s="60" t="s">
        <v>615</v>
      </c>
      <c r="F176" s="61">
        <v>2616</v>
      </c>
    </row>
  </sheetData>
  <phoneticPr fontId="7" type="noConversion"/>
  <conditionalFormatting sqref="G3:G160">
    <cfRule type="cellIs" dxfId="17" priority="1" operator="between">
      <formula>15</formula>
      <formula>20</formula>
    </cfRule>
    <cfRule type="cellIs" dxfId="16" priority="2" operator="greaterThan">
      <formula>20</formula>
    </cfRule>
    <cfRule type="cellIs" dxfId="15" priority="3" operator="between">
      <formula>16</formula>
      <formula>20</formula>
    </cfRule>
    <cfRule type="cellIs" dxfId="14" priority="4" operator="lessThan">
      <formula>15</formula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FE34-4F0D-4C4F-8C5A-FFE4B432E315}">
  <dimension ref="A1:E12"/>
  <sheetViews>
    <sheetView zoomScale="85" zoomScaleNormal="85" workbookViewId="0">
      <selection activeCell="H17" sqref="H17"/>
    </sheetView>
  </sheetViews>
  <sheetFormatPr defaultRowHeight="21" x14ac:dyDescent="0.35"/>
  <cols>
    <col min="1" max="1" width="25.42578125" style="38" customWidth="1"/>
    <col min="2" max="2" width="25.7109375" style="38" customWidth="1"/>
    <col min="3" max="3" width="20.7109375" style="38" customWidth="1"/>
    <col min="4" max="4" width="23.7109375" style="38" customWidth="1"/>
    <col min="5" max="5" width="20.140625" style="38" customWidth="1"/>
    <col min="6" max="16384" width="9.140625" style="38"/>
  </cols>
  <sheetData>
    <row r="1" spans="1:5" x14ac:dyDescent="0.35">
      <c r="A1" s="37"/>
      <c r="B1" s="37"/>
      <c r="C1" s="37" t="s">
        <v>607</v>
      </c>
      <c r="D1" s="37"/>
      <c r="E1" s="37"/>
    </row>
    <row r="2" spans="1:5" x14ac:dyDescent="0.35">
      <c r="A2" s="39" t="s">
        <v>457</v>
      </c>
      <c r="B2" s="39" t="s">
        <v>574</v>
      </c>
      <c r="C2" s="39" t="s">
        <v>604</v>
      </c>
      <c r="D2" s="39" t="s">
        <v>605</v>
      </c>
      <c r="E2" s="39" t="s">
        <v>606</v>
      </c>
    </row>
    <row r="3" spans="1:5" x14ac:dyDescent="0.35">
      <c r="A3" s="40" t="s">
        <v>465</v>
      </c>
      <c r="B3" s="40" t="s">
        <v>410</v>
      </c>
      <c r="C3" s="40">
        <v>25</v>
      </c>
      <c r="D3" s="40">
        <v>10000</v>
      </c>
      <c r="E3" s="41">
        <v>250000</v>
      </c>
    </row>
    <row r="4" spans="1:5" ht="42" x14ac:dyDescent="0.35">
      <c r="A4" s="40" t="s">
        <v>465</v>
      </c>
      <c r="B4" s="40" t="s">
        <v>584</v>
      </c>
      <c r="C4" s="40">
        <v>18</v>
      </c>
      <c r="D4" s="40">
        <v>19500</v>
      </c>
      <c r="E4" s="41">
        <v>351000</v>
      </c>
    </row>
    <row r="5" spans="1:5" x14ac:dyDescent="0.35">
      <c r="A5" s="40" t="s">
        <v>476</v>
      </c>
      <c r="B5" s="40" t="s">
        <v>588</v>
      </c>
      <c r="C5" s="40">
        <v>20</v>
      </c>
      <c r="D5" s="40">
        <v>25900</v>
      </c>
      <c r="E5" s="41">
        <v>518000</v>
      </c>
    </row>
    <row r="6" spans="1:5" x14ac:dyDescent="0.35">
      <c r="A6" s="40" t="s">
        <v>476</v>
      </c>
      <c r="B6" s="40" t="s">
        <v>590</v>
      </c>
      <c r="C6" s="40">
        <v>15</v>
      </c>
      <c r="D6" s="40">
        <v>25000</v>
      </c>
      <c r="E6" s="41">
        <v>375000</v>
      </c>
    </row>
    <row r="7" spans="1:5" x14ac:dyDescent="0.35">
      <c r="A7" s="40" t="s">
        <v>488</v>
      </c>
      <c r="B7" s="40" t="s">
        <v>413</v>
      </c>
      <c r="C7" s="40">
        <v>22</v>
      </c>
      <c r="D7" s="40">
        <v>15000</v>
      </c>
      <c r="E7" s="40">
        <v>330000</v>
      </c>
    </row>
    <row r="8" spans="1:5" x14ac:dyDescent="0.35">
      <c r="A8" s="40" t="s">
        <v>488</v>
      </c>
      <c r="B8" s="40" t="s">
        <v>593</v>
      </c>
      <c r="C8" s="40">
        <v>30</v>
      </c>
      <c r="D8" s="40">
        <v>11000</v>
      </c>
      <c r="E8" s="40">
        <f>C7*D7</f>
        <v>330000</v>
      </c>
    </row>
    <row r="9" spans="1:5" x14ac:dyDescent="0.35">
      <c r="A9" s="40" t="s">
        <v>498</v>
      </c>
      <c r="B9" s="40" t="s">
        <v>595</v>
      </c>
      <c r="C9" s="40">
        <v>16</v>
      </c>
      <c r="D9" s="40">
        <v>23000</v>
      </c>
      <c r="E9" s="41">
        <v>368000</v>
      </c>
    </row>
    <row r="10" spans="1:5" x14ac:dyDescent="0.35">
      <c r="A10" s="40" t="s">
        <v>498</v>
      </c>
      <c r="B10" s="40" t="s">
        <v>597</v>
      </c>
      <c r="C10" s="40">
        <v>40</v>
      </c>
      <c r="D10" s="40">
        <v>9000</v>
      </c>
      <c r="E10" s="41">
        <v>360000</v>
      </c>
    </row>
    <row r="11" spans="1:5" x14ac:dyDescent="0.35">
      <c r="A11" s="40" t="s">
        <v>507</v>
      </c>
      <c r="B11" s="40" t="s">
        <v>599</v>
      </c>
      <c r="C11" s="40">
        <v>28</v>
      </c>
      <c r="D11" s="40">
        <v>14000</v>
      </c>
      <c r="E11" s="41">
        <v>392000</v>
      </c>
    </row>
    <row r="12" spans="1:5" x14ac:dyDescent="0.35">
      <c r="A12" s="40" t="s">
        <v>507</v>
      </c>
      <c r="B12" s="40" t="s">
        <v>601</v>
      </c>
      <c r="C12" s="40">
        <v>19</v>
      </c>
      <c r="D12" s="40">
        <v>18000</v>
      </c>
      <c r="E12" s="41">
        <v>342000</v>
      </c>
    </row>
  </sheetData>
  <conditionalFormatting sqref="E3:E12">
    <cfRule type="cellIs" dxfId="13" priority="1" operator="lessThan">
      <formula>300000</formula>
    </cfRule>
    <cfRule type="cellIs" dxfId="12" priority="2" operator="between">
      <formula>300000</formula>
      <formula>400000</formula>
    </cfRule>
    <cfRule type="cellIs" dxfId="11" priority="3" operator="greaterThan">
      <formula>400000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6874-EFD9-4C1C-948B-71C3C2CDD628}">
  <dimension ref="A1:H21"/>
  <sheetViews>
    <sheetView workbookViewId="0">
      <selection activeCell="H31" sqref="H31"/>
    </sheetView>
  </sheetViews>
  <sheetFormatPr defaultRowHeight="15" x14ac:dyDescent="0.25"/>
  <cols>
    <col min="1" max="1" width="14.140625" customWidth="1"/>
    <col min="2" max="2" width="26.7109375" customWidth="1"/>
    <col min="3" max="3" width="12.42578125" customWidth="1"/>
    <col min="4" max="4" width="28.42578125" customWidth="1"/>
    <col min="5" max="5" width="13.7109375" customWidth="1"/>
    <col min="6" max="6" width="12.28515625" customWidth="1"/>
    <col min="7" max="7" width="14.28515625" customWidth="1"/>
  </cols>
  <sheetData>
    <row r="1" spans="1:8" ht="21" x14ac:dyDescent="0.35">
      <c r="A1" s="42"/>
      <c r="B1" s="42"/>
      <c r="C1" s="42"/>
      <c r="D1" s="42" t="s">
        <v>603</v>
      </c>
      <c r="E1" s="42" t="s">
        <v>602</v>
      </c>
      <c r="F1" s="42"/>
      <c r="G1" s="42"/>
      <c r="H1" s="43"/>
    </row>
    <row r="2" spans="1:8" x14ac:dyDescent="0.25">
      <c r="A2" s="36" t="s">
        <v>573</v>
      </c>
      <c r="B2" s="36" t="s">
        <v>574</v>
      </c>
      <c r="C2" s="36" t="s">
        <v>575</v>
      </c>
      <c r="D2" s="36" t="s">
        <v>576</v>
      </c>
      <c r="E2" s="36" t="s">
        <v>577</v>
      </c>
      <c r="F2" s="36" t="s">
        <v>578</v>
      </c>
      <c r="G2" s="36" t="s">
        <v>579</v>
      </c>
      <c r="H2" s="46"/>
    </row>
    <row r="3" spans="1:8" x14ac:dyDescent="0.25">
      <c r="A3" s="46" t="s">
        <v>580</v>
      </c>
      <c r="B3" s="46" t="s">
        <v>410</v>
      </c>
      <c r="C3" s="46" t="s">
        <v>581</v>
      </c>
      <c r="D3" s="46" t="s">
        <v>390</v>
      </c>
      <c r="E3" s="46" t="s">
        <v>582</v>
      </c>
      <c r="F3" s="46">
        <v>8500</v>
      </c>
      <c r="G3" s="46">
        <v>10000</v>
      </c>
      <c r="H3" s="46"/>
    </row>
    <row r="4" spans="1:8" x14ac:dyDescent="0.25">
      <c r="A4" s="46" t="s">
        <v>583</v>
      </c>
      <c r="B4" s="46" t="s">
        <v>584</v>
      </c>
      <c r="C4" s="46" t="s">
        <v>585</v>
      </c>
      <c r="D4" s="46" t="s">
        <v>389</v>
      </c>
      <c r="E4" s="46" t="s">
        <v>586</v>
      </c>
      <c r="F4" s="46">
        <v>18000</v>
      </c>
      <c r="G4" s="46">
        <v>19500</v>
      </c>
      <c r="H4" s="46"/>
    </row>
    <row r="5" spans="1:8" x14ac:dyDescent="0.25">
      <c r="A5" s="46" t="s">
        <v>587</v>
      </c>
      <c r="B5" s="46" t="s">
        <v>588</v>
      </c>
      <c r="C5" s="46" t="s">
        <v>581</v>
      </c>
      <c r="D5" s="46" t="s">
        <v>389</v>
      </c>
      <c r="E5" s="46" t="s">
        <v>586</v>
      </c>
      <c r="F5" s="46">
        <v>24400</v>
      </c>
      <c r="G5" s="46">
        <v>25900</v>
      </c>
      <c r="H5" s="46"/>
    </row>
    <row r="6" spans="1:8" x14ac:dyDescent="0.25">
      <c r="A6" s="46" t="s">
        <v>589</v>
      </c>
      <c r="B6" s="46" t="s">
        <v>590</v>
      </c>
      <c r="C6" s="46" t="s">
        <v>399</v>
      </c>
      <c r="D6" s="46" t="s">
        <v>390</v>
      </c>
      <c r="E6" s="46" t="s">
        <v>582</v>
      </c>
      <c r="F6" s="46">
        <v>23500</v>
      </c>
      <c r="G6" s="46">
        <v>25000</v>
      </c>
      <c r="H6" s="46"/>
    </row>
    <row r="7" spans="1:8" x14ac:dyDescent="0.25">
      <c r="A7" s="46" t="s">
        <v>591</v>
      </c>
      <c r="B7" s="46" t="s">
        <v>413</v>
      </c>
      <c r="C7" s="46" t="s">
        <v>396</v>
      </c>
      <c r="D7" s="46" t="s">
        <v>390</v>
      </c>
      <c r="E7" s="46" t="s">
        <v>582</v>
      </c>
      <c r="F7" s="46">
        <v>13500</v>
      </c>
      <c r="G7" s="46">
        <v>15000</v>
      </c>
      <c r="H7" s="46"/>
    </row>
    <row r="8" spans="1:8" x14ac:dyDescent="0.25">
      <c r="A8" s="46" t="s">
        <v>592</v>
      </c>
      <c r="B8" s="46" t="s">
        <v>593</v>
      </c>
      <c r="C8" s="46" t="s">
        <v>585</v>
      </c>
      <c r="D8" s="46" t="s">
        <v>390</v>
      </c>
      <c r="E8" s="46" t="s">
        <v>582</v>
      </c>
      <c r="F8" s="46">
        <v>9000</v>
      </c>
      <c r="G8" s="46">
        <v>11000</v>
      </c>
      <c r="H8" s="46"/>
    </row>
    <row r="9" spans="1:8" x14ac:dyDescent="0.25">
      <c r="A9" s="46" t="s">
        <v>594</v>
      </c>
      <c r="B9" s="46" t="s">
        <v>595</v>
      </c>
      <c r="C9" s="46" t="s">
        <v>581</v>
      </c>
      <c r="D9" s="46" t="s">
        <v>389</v>
      </c>
      <c r="E9" s="46" t="s">
        <v>586</v>
      </c>
      <c r="F9" s="46">
        <v>21000</v>
      </c>
      <c r="G9" s="46">
        <v>23000</v>
      </c>
      <c r="H9" s="46"/>
    </row>
    <row r="10" spans="1:8" x14ac:dyDescent="0.25">
      <c r="A10" s="46" t="s">
        <v>596</v>
      </c>
      <c r="B10" s="46" t="s">
        <v>597</v>
      </c>
      <c r="C10" s="46" t="s">
        <v>585</v>
      </c>
      <c r="D10" s="46" t="s">
        <v>390</v>
      </c>
      <c r="E10" s="46" t="s">
        <v>582</v>
      </c>
      <c r="F10" s="46">
        <v>7000</v>
      </c>
      <c r="G10" s="46">
        <v>9000</v>
      </c>
      <c r="H10" s="46"/>
    </row>
    <row r="11" spans="1:8" x14ac:dyDescent="0.25">
      <c r="A11" s="46" t="s">
        <v>598</v>
      </c>
      <c r="B11" s="46" t="s">
        <v>599</v>
      </c>
      <c r="C11" s="46" t="s">
        <v>585</v>
      </c>
      <c r="D11" s="46" t="s">
        <v>389</v>
      </c>
      <c r="E11" s="46" t="s">
        <v>586</v>
      </c>
      <c r="F11" s="46">
        <v>12000</v>
      </c>
      <c r="G11" s="46">
        <v>14000</v>
      </c>
      <c r="H11" s="46"/>
    </row>
    <row r="12" spans="1:8" x14ac:dyDescent="0.25">
      <c r="A12" s="46" t="s">
        <v>600</v>
      </c>
      <c r="B12" s="46" t="s">
        <v>601</v>
      </c>
      <c r="C12" s="46" t="s">
        <v>581</v>
      </c>
      <c r="D12" s="46" t="s">
        <v>390</v>
      </c>
      <c r="E12" s="46" t="s">
        <v>582</v>
      </c>
      <c r="F12" s="46">
        <v>16000</v>
      </c>
      <c r="G12" s="46">
        <v>18000</v>
      </c>
      <c r="H12" s="46"/>
    </row>
    <row r="13" spans="1:8" x14ac:dyDescent="0.25">
      <c r="A13" s="45"/>
      <c r="B13" s="45"/>
      <c r="C13" s="45"/>
      <c r="D13" s="45"/>
      <c r="E13" s="45"/>
      <c r="F13" s="45"/>
      <c r="G13" s="45"/>
      <c r="H13" s="45"/>
    </row>
    <row r="14" spans="1:8" x14ac:dyDescent="0.25">
      <c r="A14" s="45"/>
      <c r="B14" s="45"/>
      <c r="C14" s="45"/>
      <c r="D14" s="45"/>
      <c r="E14" s="45"/>
      <c r="F14" s="45"/>
      <c r="G14" s="45"/>
      <c r="H14" s="45"/>
    </row>
    <row r="15" spans="1:8" x14ac:dyDescent="0.25">
      <c r="A15" s="45"/>
      <c r="B15" s="45"/>
      <c r="C15" s="45"/>
      <c r="D15" s="45"/>
      <c r="E15" s="45"/>
      <c r="F15" s="45"/>
      <c r="G15" s="45"/>
      <c r="H15" s="45"/>
    </row>
    <row r="16" spans="1:8" x14ac:dyDescent="0.25">
      <c r="A16" s="45"/>
      <c r="B16" s="45"/>
      <c r="C16" s="45"/>
      <c r="D16" s="45"/>
      <c r="E16" s="45"/>
      <c r="F16" s="45"/>
      <c r="G16" s="45"/>
      <c r="H16" s="45"/>
    </row>
    <row r="17" spans="1:8" x14ac:dyDescent="0.25">
      <c r="A17" s="45"/>
      <c r="B17" s="45"/>
      <c r="C17" s="45"/>
      <c r="D17" s="45"/>
      <c r="E17" s="45"/>
      <c r="F17" s="45"/>
      <c r="G17" s="45"/>
      <c r="H17" s="45"/>
    </row>
    <row r="18" spans="1:8" x14ac:dyDescent="0.25">
      <c r="A18" s="45"/>
      <c r="B18" s="45"/>
      <c r="C18" s="45"/>
      <c r="D18" s="45"/>
      <c r="E18" s="45"/>
      <c r="F18" s="45"/>
      <c r="G18" s="45"/>
      <c r="H18" s="45"/>
    </row>
    <row r="19" spans="1:8" x14ac:dyDescent="0.25">
      <c r="A19" s="45"/>
      <c r="B19" s="45"/>
      <c r="C19" s="45"/>
      <c r="D19" s="45"/>
      <c r="E19" s="45"/>
      <c r="F19" s="45"/>
      <c r="G19" s="45"/>
      <c r="H19" s="45"/>
    </row>
    <row r="20" spans="1:8" x14ac:dyDescent="0.25">
      <c r="A20" s="45"/>
      <c r="B20" s="45"/>
      <c r="C20" s="45"/>
      <c r="D20" s="45"/>
      <c r="E20" s="45"/>
      <c r="F20" s="45"/>
      <c r="G20" s="45"/>
      <c r="H20" s="45"/>
    </row>
    <row r="21" spans="1:8" x14ac:dyDescent="0.25">
      <c r="A21" s="45"/>
      <c r="B21" s="45"/>
      <c r="C21" s="45"/>
      <c r="D21" s="45"/>
      <c r="E21" s="45"/>
      <c r="F21" s="45"/>
      <c r="G21" s="45"/>
      <c r="H21" s="45"/>
    </row>
  </sheetData>
  <conditionalFormatting sqref="G3:G12">
    <cfRule type="cellIs" dxfId="10" priority="1" operator="between">
      <formula>13225</formula>
      <formula>21675</formula>
    </cfRule>
    <cfRule type="cellIs" dxfId="9" priority="2" operator="lessThan">
      <formula>17450</formula>
    </cfRule>
    <cfRule type="cellIs" dxfId="8" priority="3" operator="greaterThan">
      <formula>17450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BD0A-FDD4-4C5E-B10B-907EE7981E8B}">
  <dimension ref="A1:I17"/>
  <sheetViews>
    <sheetView workbookViewId="0">
      <selection activeCell="F17" sqref="F17"/>
    </sheetView>
  </sheetViews>
  <sheetFormatPr defaultRowHeight="15" x14ac:dyDescent="0.25"/>
  <cols>
    <col min="1" max="1" width="17.85546875" customWidth="1"/>
    <col min="2" max="2" width="19.85546875" customWidth="1"/>
    <col min="3" max="3" width="19" customWidth="1"/>
    <col min="4" max="4" width="21.7109375" customWidth="1"/>
    <col min="5" max="5" width="20.85546875" customWidth="1"/>
    <col min="6" max="6" width="17.28515625" customWidth="1"/>
    <col min="7" max="7" width="11.42578125" customWidth="1"/>
    <col min="8" max="8" width="11.7109375" customWidth="1"/>
  </cols>
  <sheetData>
    <row r="1" spans="1:9" s="29" customFormat="1" x14ac:dyDescent="0.25">
      <c r="A1" s="30"/>
      <c r="B1" s="35"/>
      <c r="C1" s="44"/>
      <c r="D1" s="30" t="s">
        <v>572</v>
      </c>
      <c r="E1" s="44"/>
      <c r="F1" s="44"/>
      <c r="G1" s="44"/>
      <c r="H1" s="44"/>
      <c r="I1" s="45"/>
    </row>
    <row r="2" spans="1:9" x14ac:dyDescent="0.25">
      <c r="A2" s="34" t="s">
        <v>523</v>
      </c>
      <c r="B2" s="34" t="s">
        <v>524</v>
      </c>
      <c r="C2" s="34" t="s">
        <v>525</v>
      </c>
      <c r="D2" s="34" t="s">
        <v>526</v>
      </c>
      <c r="E2" s="34" t="s">
        <v>527</v>
      </c>
      <c r="F2" s="34" t="s">
        <v>528</v>
      </c>
      <c r="G2" s="34" t="s">
        <v>529</v>
      </c>
      <c r="H2" s="34" t="s">
        <v>530</v>
      </c>
      <c r="I2" s="46"/>
    </row>
    <row r="3" spans="1:9" x14ac:dyDescent="0.25">
      <c r="A3" s="47" t="s">
        <v>531</v>
      </c>
      <c r="B3" s="47" t="s">
        <v>532</v>
      </c>
      <c r="C3" s="47" t="s">
        <v>533</v>
      </c>
      <c r="D3" s="47" t="s">
        <v>534</v>
      </c>
      <c r="E3" s="48">
        <v>55000</v>
      </c>
      <c r="F3" s="48">
        <v>5000</v>
      </c>
      <c r="G3" s="48">
        <v>3000</v>
      </c>
      <c r="H3" s="48">
        <f>E3+F3-G3</f>
        <v>57000</v>
      </c>
      <c r="I3" s="46"/>
    </row>
    <row r="4" spans="1:9" x14ac:dyDescent="0.25">
      <c r="A4" s="47" t="s">
        <v>535</v>
      </c>
      <c r="B4" s="47" t="s">
        <v>536</v>
      </c>
      <c r="C4" s="47" t="s">
        <v>537</v>
      </c>
      <c r="D4" s="47" t="s">
        <v>534</v>
      </c>
      <c r="E4" s="48">
        <v>35000</v>
      </c>
      <c r="F4" s="48">
        <v>3000</v>
      </c>
      <c r="G4" s="48">
        <v>1500</v>
      </c>
      <c r="H4" s="48">
        <f>E4+F4-G4</f>
        <v>36500</v>
      </c>
      <c r="I4" s="46"/>
    </row>
    <row r="5" spans="1:9" x14ac:dyDescent="0.25">
      <c r="A5" s="47" t="s">
        <v>538</v>
      </c>
      <c r="B5" s="47" t="s">
        <v>539</v>
      </c>
      <c r="C5" s="47" t="s">
        <v>540</v>
      </c>
      <c r="D5" s="47" t="s">
        <v>541</v>
      </c>
      <c r="E5" s="48">
        <v>40000</v>
      </c>
      <c r="F5" s="48">
        <v>2000</v>
      </c>
      <c r="G5" s="48">
        <v>2000</v>
      </c>
      <c r="H5" s="48">
        <f>E5+F5-G5</f>
        <v>40000</v>
      </c>
      <c r="I5" s="46"/>
    </row>
    <row r="6" spans="1:9" x14ac:dyDescent="0.25">
      <c r="A6" s="47" t="s">
        <v>542</v>
      </c>
      <c r="B6" s="47" t="s">
        <v>543</v>
      </c>
      <c r="C6" s="47" t="s">
        <v>544</v>
      </c>
      <c r="D6" s="47" t="s">
        <v>545</v>
      </c>
      <c r="E6" s="48">
        <v>45000</v>
      </c>
      <c r="F6" s="48">
        <v>4000</v>
      </c>
      <c r="G6" s="48">
        <v>2500</v>
      </c>
      <c r="H6" s="48">
        <f>E6+F6-G6</f>
        <v>46500</v>
      </c>
      <c r="I6" s="46"/>
    </row>
    <row r="7" spans="1:9" x14ac:dyDescent="0.25">
      <c r="A7" s="47" t="s">
        <v>546</v>
      </c>
      <c r="B7" s="47" t="s">
        <v>547</v>
      </c>
      <c r="C7" s="47" t="s">
        <v>548</v>
      </c>
      <c r="D7" s="47" t="s">
        <v>534</v>
      </c>
      <c r="E7" s="48">
        <v>30000</v>
      </c>
      <c r="F7" s="48">
        <v>2000</v>
      </c>
      <c r="G7" s="48">
        <v>1000</v>
      </c>
      <c r="H7" s="48">
        <f>E7+F7-G7</f>
        <v>31000</v>
      </c>
      <c r="I7" s="46"/>
    </row>
    <row r="8" spans="1:9" x14ac:dyDescent="0.25">
      <c r="A8" s="47" t="s">
        <v>549</v>
      </c>
      <c r="B8" s="47" t="s">
        <v>550</v>
      </c>
      <c r="C8" s="47" t="s">
        <v>551</v>
      </c>
      <c r="D8" s="47" t="s">
        <v>534</v>
      </c>
      <c r="E8" s="48">
        <v>32000</v>
      </c>
      <c r="F8" s="48">
        <v>2500</v>
      </c>
      <c r="G8" s="48">
        <v>1200</v>
      </c>
      <c r="H8" s="48">
        <f>E8+F8-G8</f>
        <v>33300</v>
      </c>
      <c r="I8" s="46"/>
    </row>
    <row r="9" spans="1:9" ht="30" x14ac:dyDescent="0.25">
      <c r="A9" s="47" t="s">
        <v>552</v>
      </c>
      <c r="B9" s="47" t="s">
        <v>553</v>
      </c>
      <c r="C9" s="47" t="s">
        <v>554</v>
      </c>
      <c r="D9" s="47" t="s">
        <v>541</v>
      </c>
      <c r="E9" s="48">
        <v>38000</v>
      </c>
      <c r="F9" s="48">
        <v>3000</v>
      </c>
      <c r="G9" s="48">
        <v>1800</v>
      </c>
      <c r="H9" s="48">
        <f>E9+F9-G9</f>
        <v>39200</v>
      </c>
      <c r="I9" s="46"/>
    </row>
    <row r="10" spans="1:9" ht="30" x14ac:dyDescent="0.25">
      <c r="A10" s="47" t="s">
        <v>555</v>
      </c>
      <c r="B10" s="47" t="s">
        <v>556</v>
      </c>
      <c r="C10" s="47" t="s">
        <v>557</v>
      </c>
      <c r="D10" s="47" t="s">
        <v>545</v>
      </c>
      <c r="E10" s="48">
        <v>42000</v>
      </c>
      <c r="F10" s="48">
        <v>3500</v>
      </c>
      <c r="G10" s="48">
        <v>2000</v>
      </c>
      <c r="H10" s="48">
        <f>E10+F10-G10</f>
        <v>43500</v>
      </c>
      <c r="I10" s="46"/>
    </row>
    <row r="11" spans="1:9" x14ac:dyDescent="0.25">
      <c r="A11" s="47" t="s">
        <v>558</v>
      </c>
      <c r="B11" s="47" t="s">
        <v>559</v>
      </c>
      <c r="C11" s="47" t="s">
        <v>560</v>
      </c>
      <c r="D11" s="47" t="s">
        <v>534</v>
      </c>
      <c r="E11" s="48">
        <v>36000</v>
      </c>
      <c r="F11" s="48">
        <v>2800</v>
      </c>
      <c r="G11" s="48">
        <v>1500</v>
      </c>
      <c r="H11" s="48">
        <f>E11+F11-G11</f>
        <v>37300</v>
      </c>
      <c r="I11" s="46"/>
    </row>
    <row r="12" spans="1:9" x14ac:dyDescent="0.25">
      <c r="A12" s="47" t="s">
        <v>561</v>
      </c>
      <c r="B12" s="47" t="s">
        <v>562</v>
      </c>
      <c r="C12" s="47" t="s">
        <v>563</v>
      </c>
      <c r="D12" s="47" t="s">
        <v>564</v>
      </c>
      <c r="E12" s="48">
        <v>34000</v>
      </c>
      <c r="F12" s="48">
        <v>2500</v>
      </c>
      <c r="G12" s="48">
        <v>1300</v>
      </c>
      <c r="H12" s="48">
        <f>E12+F12-G12</f>
        <v>35200</v>
      </c>
      <c r="I12" s="46"/>
    </row>
    <row r="13" spans="1:9" x14ac:dyDescent="0.25">
      <c r="A13" s="47" t="s">
        <v>565</v>
      </c>
      <c r="B13" s="47" t="s">
        <v>566</v>
      </c>
      <c r="C13" s="47" t="s">
        <v>567</v>
      </c>
      <c r="D13" s="47" t="s">
        <v>568</v>
      </c>
      <c r="E13" s="48">
        <v>48000</v>
      </c>
      <c r="F13" s="48">
        <v>4000</v>
      </c>
      <c r="G13" s="48">
        <v>2800</v>
      </c>
      <c r="H13" s="48">
        <f>E13+F13-G13</f>
        <v>49200</v>
      </c>
      <c r="I13" s="46"/>
    </row>
    <row r="14" spans="1:9" ht="30" x14ac:dyDescent="0.25">
      <c r="A14" s="47" t="s">
        <v>569</v>
      </c>
      <c r="B14" s="47" t="s">
        <v>570</v>
      </c>
      <c r="C14" s="47" t="s">
        <v>571</v>
      </c>
      <c r="D14" s="47" t="s">
        <v>545</v>
      </c>
      <c r="E14" s="48">
        <v>46000</v>
      </c>
      <c r="F14" s="48">
        <v>4500</v>
      </c>
      <c r="G14" s="48">
        <v>2200</v>
      </c>
      <c r="H14" s="48">
        <f>E14+F14-G14</f>
        <v>48300</v>
      </c>
      <c r="I14" s="46"/>
    </row>
    <row r="15" spans="1:9" x14ac:dyDescent="0.2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2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25">
      <c r="A17" s="45"/>
      <c r="B17" s="45"/>
      <c r="C17" s="45"/>
      <c r="D17" s="45"/>
      <c r="E17" s="45"/>
      <c r="F17" s="45"/>
      <c r="G17" s="45"/>
      <c r="H17" s="45"/>
      <c r="I17" s="45"/>
    </row>
  </sheetData>
  <conditionalFormatting sqref="H3:H14">
    <cfRule type="cellIs" dxfId="7" priority="1" operator="between">
      <formula>37500</formula>
      <formula>50500</formula>
    </cfRule>
    <cfRule type="cellIs" dxfId="6" priority="2" operator="lessThan">
      <formula>44000</formula>
    </cfRule>
    <cfRule type="cellIs" dxfId="5" priority="3" operator="greaterThan">
      <formula>44000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D002-E4E2-460F-8BC4-08612B8F8E8C}">
  <dimension ref="A1:J14"/>
  <sheetViews>
    <sheetView zoomScale="115" zoomScaleNormal="115" workbookViewId="0">
      <selection activeCell="G18" sqref="G18"/>
    </sheetView>
  </sheetViews>
  <sheetFormatPr defaultRowHeight="15" x14ac:dyDescent="0.25"/>
  <cols>
    <col min="2" max="2" width="13.5703125" customWidth="1"/>
    <col min="3" max="3" width="21.140625" customWidth="1"/>
    <col min="4" max="4" width="25" customWidth="1"/>
    <col min="5" max="5" width="17" customWidth="1"/>
    <col min="6" max="6" width="11.7109375" customWidth="1"/>
    <col min="7" max="7" width="22.140625" customWidth="1"/>
    <col min="8" max="8" width="21" customWidth="1"/>
    <col min="9" max="9" width="26.28515625" customWidth="1"/>
    <col min="10" max="10" width="20" customWidth="1"/>
  </cols>
  <sheetData>
    <row r="1" spans="1:10" x14ac:dyDescent="0.25">
      <c r="A1" s="30"/>
      <c r="B1" s="30"/>
      <c r="C1" s="30"/>
      <c r="D1" s="30"/>
      <c r="E1" s="32" t="s">
        <v>522</v>
      </c>
      <c r="F1" s="30"/>
      <c r="G1" s="30"/>
      <c r="H1" s="32"/>
      <c r="I1" s="30"/>
      <c r="J1" s="30"/>
    </row>
    <row r="2" spans="1:10" x14ac:dyDescent="0.25">
      <c r="A2" s="31" t="s">
        <v>5</v>
      </c>
      <c r="B2" s="31" t="s">
        <v>453</v>
      </c>
      <c r="C2" s="31" t="s">
        <v>454</v>
      </c>
      <c r="D2" s="31" t="s">
        <v>455</v>
      </c>
      <c r="E2" s="31" t="s">
        <v>456</v>
      </c>
      <c r="F2" s="31" t="s">
        <v>457</v>
      </c>
      <c r="G2" s="31" t="s">
        <v>458</v>
      </c>
      <c r="H2" s="31" t="s">
        <v>459</v>
      </c>
      <c r="I2" s="31" t="s">
        <v>460</v>
      </c>
      <c r="J2" s="31" t="s">
        <v>461</v>
      </c>
    </row>
    <row r="3" spans="1:10" x14ac:dyDescent="0.25">
      <c r="A3" s="28">
        <v>1</v>
      </c>
      <c r="B3" s="28" t="s">
        <v>462</v>
      </c>
      <c r="C3" s="28" t="s">
        <v>463</v>
      </c>
      <c r="D3" s="28" t="s">
        <v>464</v>
      </c>
      <c r="E3" s="28" t="s">
        <v>394</v>
      </c>
      <c r="F3" s="28" t="s">
        <v>465</v>
      </c>
      <c r="G3" s="28">
        <v>50000</v>
      </c>
      <c r="H3" s="28">
        <v>47000</v>
      </c>
      <c r="I3" s="28" t="s">
        <v>466</v>
      </c>
      <c r="J3" s="28" t="s">
        <v>467</v>
      </c>
    </row>
    <row r="4" spans="1:10" x14ac:dyDescent="0.25">
      <c r="A4" s="28">
        <v>2</v>
      </c>
      <c r="B4" s="28" t="s">
        <v>468</v>
      </c>
      <c r="C4" s="28" t="s">
        <v>463</v>
      </c>
      <c r="D4" s="28" t="s">
        <v>469</v>
      </c>
      <c r="E4" s="28" t="s">
        <v>470</v>
      </c>
      <c r="F4" s="28" t="s">
        <v>465</v>
      </c>
      <c r="G4" s="28">
        <v>40000</v>
      </c>
      <c r="H4" s="28">
        <v>38000</v>
      </c>
      <c r="I4" s="28" t="s">
        <v>471</v>
      </c>
      <c r="J4" s="28" t="s">
        <v>472</v>
      </c>
    </row>
    <row r="5" spans="1:10" x14ac:dyDescent="0.25">
      <c r="A5" s="28">
        <v>3</v>
      </c>
      <c r="B5" s="28" t="s">
        <v>473</v>
      </c>
      <c r="C5" s="28" t="s">
        <v>474</v>
      </c>
      <c r="D5" s="28" t="s">
        <v>475</v>
      </c>
      <c r="E5" s="28" t="s">
        <v>389</v>
      </c>
      <c r="F5" s="28" t="s">
        <v>476</v>
      </c>
      <c r="G5" s="28">
        <v>60000</v>
      </c>
      <c r="H5" s="28">
        <v>62000</v>
      </c>
      <c r="I5" s="28" t="s">
        <v>477</v>
      </c>
      <c r="J5" s="28" t="s">
        <v>478</v>
      </c>
    </row>
    <row r="6" spans="1:10" x14ac:dyDescent="0.25">
      <c r="A6" s="28">
        <v>4</v>
      </c>
      <c r="B6" s="28" t="s">
        <v>479</v>
      </c>
      <c r="C6" s="28" t="s">
        <v>480</v>
      </c>
      <c r="D6" s="28" t="s">
        <v>481</v>
      </c>
      <c r="E6" s="28" t="s">
        <v>390</v>
      </c>
      <c r="F6" s="28" t="s">
        <v>476</v>
      </c>
      <c r="G6" s="28">
        <v>45000</v>
      </c>
      <c r="H6" s="28">
        <v>43000</v>
      </c>
      <c r="I6" s="28" t="s">
        <v>482</v>
      </c>
      <c r="J6" s="28" t="s">
        <v>483</v>
      </c>
    </row>
    <row r="7" spans="1:10" x14ac:dyDescent="0.25">
      <c r="A7" s="28">
        <v>5</v>
      </c>
      <c r="B7" s="28" t="s">
        <v>484</v>
      </c>
      <c r="C7" s="28" t="s">
        <v>485</v>
      </c>
      <c r="D7" s="28" t="s">
        <v>486</v>
      </c>
      <c r="E7" s="28" t="s">
        <v>487</v>
      </c>
      <c r="F7" s="28" t="s">
        <v>488</v>
      </c>
      <c r="G7" s="28">
        <v>20000</v>
      </c>
      <c r="H7" s="28">
        <v>18000</v>
      </c>
      <c r="I7" s="28" t="s">
        <v>489</v>
      </c>
      <c r="J7" s="28" t="s">
        <v>490</v>
      </c>
    </row>
    <row r="8" spans="1:10" x14ac:dyDescent="0.25">
      <c r="A8" s="28">
        <v>6</v>
      </c>
      <c r="B8" s="28" t="s">
        <v>491</v>
      </c>
      <c r="C8" s="28" t="s">
        <v>463</v>
      </c>
      <c r="D8" s="28" t="s">
        <v>492</v>
      </c>
      <c r="E8" s="28" t="s">
        <v>393</v>
      </c>
      <c r="F8" s="28" t="s">
        <v>488</v>
      </c>
      <c r="G8" s="28">
        <v>30000</v>
      </c>
      <c r="H8" s="28">
        <v>29000</v>
      </c>
      <c r="I8" s="28" t="s">
        <v>493</v>
      </c>
      <c r="J8" s="28" t="s">
        <v>494</v>
      </c>
    </row>
    <row r="9" spans="1:10" x14ac:dyDescent="0.25">
      <c r="A9" s="28">
        <v>7</v>
      </c>
      <c r="B9" s="28" t="s">
        <v>495</v>
      </c>
      <c r="C9" s="28" t="s">
        <v>496</v>
      </c>
      <c r="D9" s="28" t="s">
        <v>497</v>
      </c>
      <c r="E9" s="28" t="s">
        <v>392</v>
      </c>
      <c r="F9" s="28" t="s">
        <v>498</v>
      </c>
      <c r="G9" s="28">
        <v>25000</v>
      </c>
      <c r="H9" s="28">
        <v>24000</v>
      </c>
      <c r="I9" s="28" t="s">
        <v>499</v>
      </c>
      <c r="J9" s="28" t="s">
        <v>500</v>
      </c>
    </row>
    <row r="10" spans="1:10" x14ac:dyDescent="0.25">
      <c r="A10" s="28">
        <v>8</v>
      </c>
      <c r="B10" s="28" t="s">
        <v>501</v>
      </c>
      <c r="C10" s="28" t="s">
        <v>474</v>
      </c>
      <c r="D10" s="28" t="s">
        <v>502</v>
      </c>
      <c r="E10" s="28" t="s">
        <v>392</v>
      </c>
      <c r="F10" s="28" t="s">
        <v>498</v>
      </c>
      <c r="G10" s="28">
        <v>55000</v>
      </c>
      <c r="H10" s="28">
        <v>53000</v>
      </c>
      <c r="I10" s="28" t="s">
        <v>503</v>
      </c>
      <c r="J10" s="28" t="s">
        <v>504</v>
      </c>
    </row>
    <row r="11" spans="1:10" x14ac:dyDescent="0.25">
      <c r="A11" s="28">
        <v>9</v>
      </c>
      <c r="B11" s="28" t="s">
        <v>505</v>
      </c>
      <c r="C11" s="28" t="s">
        <v>463</v>
      </c>
      <c r="D11" s="28" t="s">
        <v>506</v>
      </c>
      <c r="E11" s="28" t="s">
        <v>391</v>
      </c>
      <c r="F11" s="28" t="s">
        <v>507</v>
      </c>
      <c r="G11" s="28">
        <v>35000</v>
      </c>
      <c r="H11" s="28">
        <v>33000</v>
      </c>
      <c r="I11" s="28" t="s">
        <v>508</v>
      </c>
      <c r="J11" s="28" t="s">
        <v>509</v>
      </c>
    </row>
    <row r="12" spans="1:10" x14ac:dyDescent="0.25">
      <c r="A12" s="28">
        <v>10</v>
      </c>
      <c r="B12" s="28" t="s">
        <v>510</v>
      </c>
      <c r="C12" s="28" t="s">
        <v>480</v>
      </c>
      <c r="D12" s="28" t="s">
        <v>511</v>
      </c>
      <c r="E12" s="28" t="s">
        <v>391</v>
      </c>
      <c r="F12" s="28" t="s">
        <v>507</v>
      </c>
      <c r="G12" s="28">
        <v>40000</v>
      </c>
      <c r="H12" s="28">
        <v>39000</v>
      </c>
      <c r="I12" s="28" t="s">
        <v>512</v>
      </c>
      <c r="J12" s="28" t="s">
        <v>513</v>
      </c>
    </row>
    <row r="13" spans="1:10" x14ac:dyDescent="0.25">
      <c r="A13" s="28">
        <v>11</v>
      </c>
      <c r="B13" s="28" t="s">
        <v>514</v>
      </c>
      <c r="C13" s="28" t="s">
        <v>463</v>
      </c>
      <c r="D13" s="28" t="s">
        <v>515</v>
      </c>
      <c r="E13" s="28" t="s">
        <v>390</v>
      </c>
      <c r="F13" s="28" t="s">
        <v>516</v>
      </c>
      <c r="G13" s="28">
        <v>48000</v>
      </c>
      <c r="H13" s="28">
        <v>46000</v>
      </c>
      <c r="I13" s="28" t="s">
        <v>517</v>
      </c>
      <c r="J13" s="28" t="s">
        <v>467</v>
      </c>
    </row>
    <row r="14" spans="1:10" x14ac:dyDescent="0.25">
      <c r="A14" s="28">
        <v>12</v>
      </c>
      <c r="B14" s="28" t="s">
        <v>518</v>
      </c>
      <c r="C14" s="28" t="s">
        <v>485</v>
      </c>
      <c r="D14" s="28" t="s">
        <v>519</v>
      </c>
      <c r="E14" s="28" t="s">
        <v>487</v>
      </c>
      <c r="F14" s="28" t="s">
        <v>516</v>
      </c>
      <c r="G14" s="28">
        <v>22000</v>
      </c>
      <c r="H14" s="28">
        <v>21000</v>
      </c>
      <c r="I14" s="28" t="s">
        <v>520</v>
      </c>
      <c r="J14" s="28" t="s">
        <v>521</v>
      </c>
    </row>
  </sheetData>
  <conditionalFormatting sqref="H3:H14">
    <cfRule type="cellIs" dxfId="4" priority="1" operator="between">
      <formula>29000</formula>
      <formula>51000</formula>
    </cfRule>
    <cfRule type="cellIs" dxfId="3" priority="2" operator="greaterThan">
      <formula>40000</formula>
    </cfRule>
    <cfRule type="cellIs" dxfId="2" priority="3" operator="lessThan">
      <formula>40000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B38A-78DA-44C6-B49D-2D55FEF9E62A}">
  <dimension ref="A1:K23"/>
  <sheetViews>
    <sheetView tabSelected="1" topLeftCell="A11" workbookViewId="0">
      <selection activeCell="M37" sqref="M37"/>
    </sheetView>
  </sheetViews>
  <sheetFormatPr defaultRowHeight="15" x14ac:dyDescent="0.25"/>
  <cols>
    <col min="1" max="1" width="9.140625" style="9"/>
    <col min="2" max="2" width="15.5703125" style="9" customWidth="1"/>
    <col min="3" max="3" width="16" style="9" customWidth="1"/>
    <col min="4" max="4" width="16.85546875" style="9" customWidth="1"/>
    <col min="5" max="5" width="14" style="9" customWidth="1"/>
    <col min="6" max="6" width="22.42578125" style="9" customWidth="1"/>
    <col min="7" max="7" width="16" style="9" customWidth="1"/>
    <col min="8" max="8" width="37.140625" style="9" customWidth="1"/>
    <col min="9" max="9" width="26.5703125" style="9" customWidth="1"/>
    <col min="10" max="10" width="19" style="9" customWidth="1"/>
    <col min="11" max="16384" width="9.140625" style="9"/>
  </cols>
  <sheetData>
    <row r="1" spans="1:11" ht="18.75" x14ac:dyDescent="0.3">
      <c r="A1" s="11"/>
      <c r="B1" s="11"/>
      <c r="C1" s="11"/>
      <c r="D1" s="11"/>
      <c r="E1" s="11"/>
      <c r="F1" s="12" t="s">
        <v>366</v>
      </c>
      <c r="G1" s="11"/>
      <c r="H1" s="11"/>
      <c r="I1" s="11"/>
      <c r="J1" s="11"/>
    </row>
    <row r="2" spans="1:11" ht="15.75" x14ac:dyDescent="0.25">
      <c r="A2" s="13" t="s">
        <v>5</v>
      </c>
      <c r="B2" s="13" t="s">
        <v>357</v>
      </c>
      <c r="C2" s="13" t="s">
        <v>358</v>
      </c>
      <c r="D2" s="13" t="s">
        <v>359</v>
      </c>
      <c r="E2" s="13" t="s">
        <v>360</v>
      </c>
      <c r="F2" s="13" t="s">
        <v>361</v>
      </c>
      <c r="G2" s="13" t="s">
        <v>362</v>
      </c>
      <c r="H2" s="13" t="s">
        <v>363</v>
      </c>
      <c r="I2" s="13" t="s">
        <v>364</v>
      </c>
      <c r="J2" s="13" t="s">
        <v>365</v>
      </c>
    </row>
    <row r="3" spans="1:11" x14ac:dyDescent="0.25">
      <c r="A3" s="14">
        <v>1</v>
      </c>
      <c r="B3" s="14" t="s">
        <v>367</v>
      </c>
      <c r="C3" s="14" t="s">
        <v>388</v>
      </c>
      <c r="D3" s="14" t="s">
        <v>387</v>
      </c>
      <c r="E3" s="14" t="s">
        <v>42</v>
      </c>
      <c r="F3" s="14" t="s">
        <v>410</v>
      </c>
      <c r="G3" s="14">
        <v>5</v>
      </c>
      <c r="H3" s="14" t="s">
        <v>432</v>
      </c>
      <c r="I3" s="14" t="s">
        <v>451</v>
      </c>
      <c r="J3" s="15">
        <v>46011</v>
      </c>
      <c r="K3" s="10"/>
    </row>
    <row r="4" spans="1:11" x14ac:dyDescent="0.25">
      <c r="A4" s="14">
        <v>2</v>
      </c>
      <c r="B4" s="10" t="s">
        <v>368</v>
      </c>
      <c r="C4" s="14" t="s">
        <v>388</v>
      </c>
      <c r="D4" s="14" t="s">
        <v>387</v>
      </c>
      <c r="E4" s="10" t="s">
        <v>48</v>
      </c>
      <c r="F4" s="10" t="s">
        <v>411</v>
      </c>
      <c r="G4" s="10">
        <v>4</v>
      </c>
      <c r="H4" s="10" t="s">
        <v>433</v>
      </c>
      <c r="I4" s="10" t="s">
        <v>452</v>
      </c>
      <c r="J4" s="16">
        <v>46014</v>
      </c>
      <c r="K4" s="10"/>
    </row>
    <row r="5" spans="1:11" x14ac:dyDescent="0.25">
      <c r="A5" s="14">
        <v>3</v>
      </c>
      <c r="B5" s="10" t="s">
        <v>369</v>
      </c>
      <c r="C5" s="14" t="s">
        <v>388</v>
      </c>
      <c r="D5" s="10" t="s">
        <v>394</v>
      </c>
      <c r="E5" s="10" t="s">
        <v>53</v>
      </c>
      <c r="F5" s="10" t="s">
        <v>412</v>
      </c>
      <c r="G5" s="10">
        <v>5</v>
      </c>
      <c r="H5" s="10" t="s">
        <v>434</v>
      </c>
      <c r="I5" s="10" t="s">
        <v>451</v>
      </c>
      <c r="J5" s="16">
        <v>46015</v>
      </c>
      <c r="K5" s="10"/>
    </row>
    <row r="6" spans="1:11" x14ac:dyDescent="0.25">
      <c r="A6" s="14">
        <v>4</v>
      </c>
      <c r="B6" s="10" t="s">
        <v>370</v>
      </c>
      <c r="C6" s="14" t="s">
        <v>388</v>
      </c>
      <c r="D6" s="10" t="s">
        <v>395</v>
      </c>
      <c r="E6" s="10" t="s">
        <v>60</v>
      </c>
      <c r="F6" s="10" t="s">
        <v>413</v>
      </c>
      <c r="G6" s="10">
        <v>5</v>
      </c>
      <c r="H6" s="10" t="s">
        <v>435</v>
      </c>
      <c r="I6" s="10" t="s">
        <v>451</v>
      </c>
      <c r="J6" s="16">
        <v>46016</v>
      </c>
      <c r="K6" s="10"/>
    </row>
    <row r="7" spans="1:11" x14ac:dyDescent="0.25">
      <c r="A7" s="14">
        <v>5</v>
      </c>
      <c r="B7" s="10" t="s">
        <v>371</v>
      </c>
      <c r="C7" s="14" t="s">
        <v>388</v>
      </c>
      <c r="D7" s="10" t="s">
        <v>395</v>
      </c>
      <c r="E7" s="10" t="s">
        <v>64</v>
      </c>
      <c r="F7" s="10" t="s">
        <v>414</v>
      </c>
      <c r="G7" s="10">
        <v>5</v>
      </c>
      <c r="H7" s="10" t="s">
        <v>436</v>
      </c>
      <c r="I7" s="10" t="s">
        <v>451</v>
      </c>
      <c r="J7" s="16">
        <v>46017</v>
      </c>
      <c r="K7" s="10"/>
    </row>
    <row r="8" spans="1:11" x14ac:dyDescent="0.25">
      <c r="A8" s="14">
        <v>6</v>
      </c>
      <c r="B8" s="10" t="s">
        <v>372</v>
      </c>
      <c r="C8" s="10" t="s">
        <v>389</v>
      </c>
      <c r="D8" s="10" t="s">
        <v>396</v>
      </c>
      <c r="E8" s="10" t="s">
        <v>106</v>
      </c>
      <c r="F8" s="10" t="s">
        <v>416</v>
      </c>
      <c r="G8" s="10">
        <v>4</v>
      </c>
      <c r="H8" s="10" t="s">
        <v>437</v>
      </c>
      <c r="I8" s="10" t="s">
        <v>452</v>
      </c>
      <c r="J8" s="16">
        <v>46018</v>
      </c>
      <c r="K8" s="10"/>
    </row>
    <row r="9" spans="1:11" x14ac:dyDescent="0.25">
      <c r="A9" s="14">
        <v>7</v>
      </c>
      <c r="B9" s="10" t="s">
        <v>373</v>
      </c>
      <c r="C9" s="10" t="s">
        <v>389</v>
      </c>
      <c r="D9" s="10" t="s">
        <v>397</v>
      </c>
      <c r="E9" s="10" t="s">
        <v>112</v>
      </c>
      <c r="F9" s="10" t="s">
        <v>417</v>
      </c>
      <c r="G9" s="10">
        <v>4</v>
      </c>
      <c r="H9" s="10" t="s">
        <v>438</v>
      </c>
      <c r="I9" s="10" t="s">
        <v>452</v>
      </c>
      <c r="J9" s="16">
        <v>46019</v>
      </c>
      <c r="K9" s="10"/>
    </row>
    <row r="10" spans="1:11" x14ac:dyDescent="0.25">
      <c r="A10" s="14">
        <v>8</v>
      </c>
      <c r="B10" s="10" t="s">
        <v>374</v>
      </c>
      <c r="C10" s="10" t="s">
        <v>389</v>
      </c>
      <c r="D10" s="10" t="s">
        <v>398</v>
      </c>
      <c r="E10" s="10" t="s">
        <v>129</v>
      </c>
      <c r="F10" s="10" t="s">
        <v>418</v>
      </c>
      <c r="G10" s="10">
        <v>5</v>
      </c>
      <c r="H10" s="10" t="s">
        <v>439</v>
      </c>
      <c r="I10" s="10" t="s">
        <v>451</v>
      </c>
      <c r="J10" s="16">
        <v>46020</v>
      </c>
      <c r="K10" s="10"/>
    </row>
    <row r="11" spans="1:11" x14ac:dyDescent="0.25">
      <c r="A11" s="14">
        <v>9</v>
      </c>
      <c r="B11" s="10" t="s">
        <v>375</v>
      </c>
      <c r="C11" s="10" t="s">
        <v>390</v>
      </c>
      <c r="D11" s="10" t="s">
        <v>399</v>
      </c>
      <c r="E11" s="10" t="s">
        <v>174</v>
      </c>
      <c r="F11" s="10" t="s">
        <v>419</v>
      </c>
      <c r="G11" s="10">
        <v>5</v>
      </c>
      <c r="H11" s="10" t="s">
        <v>440</v>
      </c>
      <c r="I11" s="10" t="s">
        <v>451</v>
      </c>
      <c r="J11" s="16">
        <v>46021</v>
      </c>
      <c r="K11" s="10"/>
    </row>
    <row r="12" spans="1:11" x14ac:dyDescent="0.25">
      <c r="A12" s="14">
        <v>10</v>
      </c>
      <c r="B12" s="10" t="s">
        <v>376</v>
      </c>
      <c r="C12" s="10" t="s">
        <v>390</v>
      </c>
      <c r="D12" s="10" t="s">
        <v>400</v>
      </c>
      <c r="E12" s="10" t="s">
        <v>183</v>
      </c>
      <c r="F12" s="10" t="s">
        <v>421</v>
      </c>
      <c r="G12" s="10">
        <v>4</v>
      </c>
      <c r="H12" s="10" t="s">
        <v>441</v>
      </c>
      <c r="I12" s="10" t="s">
        <v>452</v>
      </c>
      <c r="J12" s="16">
        <v>46022</v>
      </c>
      <c r="K12" s="10"/>
    </row>
    <row r="13" spans="1:11" x14ac:dyDescent="0.25">
      <c r="A13" s="14">
        <v>11</v>
      </c>
      <c r="B13" s="10" t="s">
        <v>377</v>
      </c>
      <c r="C13" s="10" t="s">
        <v>390</v>
      </c>
      <c r="D13" s="10" t="s">
        <v>401</v>
      </c>
      <c r="E13" s="10" t="s">
        <v>415</v>
      </c>
      <c r="F13" s="10" t="s">
        <v>420</v>
      </c>
      <c r="G13" s="10">
        <v>4</v>
      </c>
      <c r="H13" s="10" t="s">
        <v>442</v>
      </c>
      <c r="I13" s="10" t="s">
        <v>452</v>
      </c>
      <c r="J13" s="16">
        <v>46023</v>
      </c>
      <c r="K13" s="10"/>
    </row>
    <row r="14" spans="1:11" x14ac:dyDescent="0.25">
      <c r="A14" s="14">
        <v>12</v>
      </c>
      <c r="B14" s="10" t="s">
        <v>378</v>
      </c>
      <c r="C14" s="10" t="s">
        <v>391</v>
      </c>
      <c r="D14" s="10" t="s">
        <v>402</v>
      </c>
      <c r="E14" s="10" t="s">
        <v>207</v>
      </c>
      <c r="F14" s="10" t="s">
        <v>422</v>
      </c>
      <c r="G14" s="10">
        <v>5</v>
      </c>
      <c r="H14" s="10" t="s">
        <v>443</v>
      </c>
      <c r="I14" s="10" t="s">
        <v>451</v>
      </c>
      <c r="J14" s="16">
        <v>46024</v>
      </c>
      <c r="K14" s="10"/>
    </row>
    <row r="15" spans="1:11" x14ac:dyDescent="0.25">
      <c r="A15" s="14">
        <v>13</v>
      </c>
      <c r="B15" s="10" t="s">
        <v>379</v>
      </c>
      <c r="C15" s="10" t="s">
        <v>391</v>
      </c>
      <c r="D15" s="10" t="s">
        <v>403</v>
      </c>
      <c r="E15" s="10" t="s">
        <v>424</v>
      </c>
      <c r="F15" s="10" t="s">
        <v>423</v>
      </c>
      <c r="G15" s="10">
        <v>4</v>
      </c>
      <c r="H15" s="10" t="s">
        <v>444</v>
      </c>
      <c r="I15" s="10" t="s">
        <v>452</v>
      </c>
      <c r="J15" s="16">
        <v>46025</v>
      </c>
      <c r="K15" s="10"/>
    </row>
    <row r="16" spans="1:11" x14ac:dyDescent="0.25">
      <c r="A16" s="14">
        <v>14</v>
      </c>
      <c r="B16" s="10" t="s">
        <v>380</v>
      </c>
      <c r="C16" s="10" t="s">
        <v>391</v>
      </c>
      <c r="D16" s="10" t="s">
        <v>404</v>
      </c>
      <c r="E16" s="10" t="s">
        <v>54</v>
      </c>
      <c r="F16" s="10" t="s">
        <v>425</v>
      </c>
      <c r="G16" s="10">
        <v>5</v>
      </c>
      <c r="H16" s="10" t="s">
        <v>445</v>
      </c>
      <c r="I16" s="10" t="s">
        <v>451</v>
      </c>
      <c r="J16" s="16">
        <v>46026</v>
      </c>
      <c r="K16" s="10"/>
    </row>
    <row r="17" spans="1:11" x14ac:dyDescent="0.25">
      <c r="A17" s="14">
        <v>15</v>
      </c>
      <c r="B17" s="10" t="s">
        <v>381</v>
      </c>
      <c r="C17" s="10" t="s">
        <v>392</v>
      </c>
      <c r="D17" s="10" t="s">
        <v>405</v>
      </c>
      <c r="E17" s="10" t="s">
        <v>46</v>
      </c>
      <c r="F17" s="10" t="s">
        <v>426</v>
      </c>
      <c r="G17" s="10">
        <v>5</v>
      </c>
      <c r="H17" s="10" t="s">
        <v>446</v>
      </c>
      <c r="I17" s="10" t="s">
        <v>451</v>
      </c>
      <c r="J17" s="16">
        <v>46023</v>
      </c>
      <c r="K17" s="10"/>
    </row>
    <row r="18" spans="1:11" x14ac:dyDescent="0.25">
      <c r="A18" s="14">
        <v>16</v>
      </c>
      <c r="B18" s="10" t="s">
        <v>382</v>
      </c>
      <c r="C18" s="10" t="s">
        <v>392</v>
      </c>
      <c r="D18" s="10" t="s">
        <v>406</v>
      </c>
      <c r="E18" s="10" t="s">
        <v>50</v>
      </c>
      <c r="F18" s="10" t="s">
        <v>427</v>
      </c>
      <c r="G18" s="10">
        <v>5</v>
      </c>
      <c r="H18" s="10" t="s">
        <v>448</v>
      </c>
      <c r="I18" s="10" t="s">
        <v>451</v>
      </c>
      <c r="J18" s="16">
        <v>46025</v>
      </c>
      <c r="K18" s="10"/>
    </row>
    <row r="19" spans="1:11" x14ac:dyDescent="0.25">
      <c r="A19" s="14">
        <v>17</v>
      </c>
      <c r="B19" s="10" t="s">
        <v>383</v>
      </c>
      <c r="C19" s="10" t="s">
        <v>392</v>
      </c>
      <c r="D19" s="10" t="s">
        <v>405</v>
      </c>
      <c r="E19" s="10" t="s">
        <v>43</v>
      </c>
      <c r="F19" s="10" t="s">
        <v>428</v>
      </c>
      <c r="G19" s="10">
        <v>5</v>
      </c>
      <c r="H19" s="10" t="s">
        <v>442</v>
      </c>
      <c r="I19" s="10" t="s">
        <v>451</v>
      </c>
      <c r="J19" s="16">
        <v>46023</v>
      </c>
      <c r="K19" s="10"/>
    </row>
    <row r="20" spans="1:11" x14ac:dyDescent="0.25">
      <c r="A20" s="14">
        <v>18</v>
      </c>
      <c r="B20" s="10" t="s">
        <v>384</v>
      </c>
      <c r="C20" s="10" t="s">
        <v>393</v>
      </c>
      <c r="D20" s="10" t="s">
        <v>409</v>
      </c>
      <c r="E20" s="10" t="s">
        <v>333</v>
      </c>
      <c r="F20" s="10" t="s">
        <v>429</v>
      </c>
      <c r="G20" s="10">
        <v>4</v>
      </c>
      <c r="H20" s="10" t="s">
        <v>447</v>
      </c>
      <c r="I20" s="10" t="s">
        <v>452</v>
      </c>
      <c r="J20" s="16">
        <v>46025</v>
      </c>
      <c r="K20" s="10"/>
    </row>
    <row r="21" spans="1:11" x14ac:dyDescent="0.25">
      <c r="A21" s="10">
        <v>19</v>
      </c>
      <c r="B21" s="10" t="s">
        <v>385</v>
      </c>
      <c r="C21" s="10" t="s">
        <v>393</v>
      </c>
      <c r="D21" s="10" t="s">
        <v>408</v>
      </c>
      <c r="E21" s="10" t="s">
        <v>354</v>
      </c>
      <c r="F21" s="10" t="s">
        <v>431</v>
      </c>
      <c r="G21" s="10">
        <v>3</v>
      </c>
      <c r="H21" s="10" t="s">
        <v>449</v>
      </c>
      <c r="I21" s="10" t="s">
        <v>452</v>
      </c>
      <c r="J21" s="16">
        <v>46026</v>
      </c>
      <c r="K21" s="10"/>
    </row>
    <row r="22" spans="1:11" x14ac:dyDescent="0.25">
      <c r="A22" s="10">
        <v>20</v>
      </c>
      <c r="B22" s="10" t="s">
        <v>386</v>
      </c>
      <c r="C22" s="10" t="s">
        <v>393</v>
      </c>
      <c r="D22" s="10" t="s">
        <v>407</v>
      </c>
      <c r="E22" s="10" t="s">
        <v>346</v>
      </c>
      <c r="F22" s="10" t="s">
        <v>430</v>
      </c>
      <c r="G22" s="10">
        <v>5</v>
      </c>
      <c r="H22" s="10" t="s">
        <v>450</v>
      </c>
      <c r="I22" s="10" t="s">
        <v>451</v>
      </c>
      <c r="J22" s="16">
        <v>46009</v>
      </c>
      <c r="K22" s="10"/>
    </row>
    <row r="23" spans="1:1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</sheetData>
  <phoneticPr fontId="7" type="noConversion"/>
  <conditionalFormatting sqref="G2:G22">
    <cfRule type="cellIs" dxfId="1" priority="4" operator="equal">
      <formula>5</formula>
    </cfRule>
  </conditionalFormatting>
  <conditionalFormatting sqref="I2:I2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25">
    <cfRule type="cellIs" dxfId="0" priority="1" operator="equal">
      <formula>"Highly Satisfied"</formula>
    </cfRule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{0D24D113-5F12-4796-86FD-EAADFDD76045}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24D113-5F12-4796-86FD-EAADFDD760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I2:I25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B18C-E279-4E3C-8EB6-B3E68E17E5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1F50-DA42-47CC-A360-2133F15DE5ED}">
  <dimension ref="A1"/>
  <sheetViews>
    <sheetView topLeftCell="A4" workbookViewId="0">
      <selection activeCell="J36" sqref="J3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 Master Data</vt:lpstr>
      <vt:lpstr>Inventory Management</vt:lpstr>
      <vt:lpstr>Monthly Sales</vt:lpstr>
      <vt:lpstr>Customers' Orders</vt:lpstr>
      <vt:lpstr>Employee Payroll</vt:lpstr>
      <vt:lpstr>MArketing expense</vt:lpstr>
      <vt:lpstr>Feedback Analysis</vt:lpstr>
      <vt:lpstr>ProfitLoss Statemnt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Qureshi</dc:creator>
  <cp:lastModifiedBy>DUAA JAVAID</cp:lastModifiedBy>
  <dcterms:created xsi:type="dcterms:W3CDTF">2015-06-05T18:17:20Z</dcterms:created>
  <dcterms:modified xsi:type="dcterms:W3CDTF">2026-01-04T07:53:44Z</dcterms:modified>
</cp:coreProperties>
</file>